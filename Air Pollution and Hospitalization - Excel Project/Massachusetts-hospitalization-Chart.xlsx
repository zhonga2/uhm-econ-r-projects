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23820"/>
  <mc:AlternateContent xmlns:mc="http://schemas.openxmlformats.org/markup-compatibility/2006">
    <mc:Choice Requires="x15">
      <x15ac:absPath xmlns:x15ac="http://schemas.microsoft.com/office/spreadsheetml/2010/11/ac" url="C:\Users\cgrtw\Desktop\Final Result\Chart\"/>
    </mc:Choice>
  </mc:AlternateContent>
  <xr:revisionPtr revIDLastSave="0" documentId="13_ncr:1_{54CC1FD3-DC04-4428-90D6-5C384633DE9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Pivot Table and Graph" sheetId="2" r:id="rId1"/>
  </sheets>
  <definedNames>
    <definedName name="_xlchart.v1.4" hidden="1">'Pivot Table and Graph'!$M$119:$M$132</definedName>
    <definedName name="_xlchart.v1.5" hidden="1">'Pivot Table and Graph'!$N$118</definedName>
    <definedName name="_xlchart.v1.6" hidden="1">'Pivot Table and Graph'!$N$119:$N$132</definedName>
    <definedName name="_xlchart.v1.7" hidden="1">'Pivot Table and Graph'!$M$119:$M$132</definedName>
    <definedName name="_xlchart.v1.8" hidden="1">'Pivot Table and Graph'!$N$118</definedName>
    <definedName name="_xlchart.v1.9" hidden="1">'Pivot Table and Graph'!$N$119:$N$132</definedName>
    <definedName name="_xlchart.v5.0" hidden="1">'Pivot Table and Graph'!$I$118:$J$118</definedName>
    <definedName name="_xlchart.v5.1" hidden="1">'Pivot Table and Graph'!$I$119:$J$131</definedName>
    <definedName name="_xlchart.v5.2" hidden="1">'Pivot Table and Graph'!$K$118</definedName>
    <definedName name="_xlchart.v5.3" hidden="1">'Pivot Table and Graph'!$K$119:$K$131</definedName>
  </definedNames>
  <calcPr calcId="191029"/>
  <pivotCaches>
    <pivotCache cacheId="83" r:id="rId2"/>
    <pivotCache cacheId="82" r:id="rId3"/>
  </pivotCaches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2" l="1"/>
  <c r="N8" i="2"/>
  <c r="L14" i="2" s="1"/>
  <c r="L22" i="2" l="1"/>
  <c r="L59" i="2"/>
  <c r="L107" i="2"/>
  <c r="L103" i="2"/>
  <c r="L102" i="2"/>
  <c r="L56" i="2"/>
  <c r="L60" i="2"/>
  <c r="L101" i="2"/>
  <c r="L45" i="2"/>
  <c r="L61" i="2"/>
  <c r="L100" i="2"/>
  <c r="L38" i="2"/>
  <c r="L92" i="2"/>
  <c r="L37" i="2"/>
  <c r="L36" i="2"/>
  <c r="L85" i="2"/>
  <c r="L28" i="2"/>
  <c r="L108" i="2"/>
  <c r="L79" i="2"/>
  <c r="L27" i="2"/>
  <c r="L91" i="2"/>
  <c r="L78" i="2"/>
  <c r="L23" i="2"/>
  <c r="L69" i="2"/>
  <c r="L21" i="2"/>
  <c r="L112" i="2"/>
  <c r="L65" i="2"/>
  <c r="L17" i="2"/>
  <c r="L70" i="2"/>
  <c r="L64" i="2"/>
  <c r="L16" i="2"/>
  <c r="L111" i="2"/>
  <c r="L109" i="2"/>
  <c r="L63" i="2"/>
  <c r="L6" i="2"/>
  <c r="L80" i="2"/>
  <c r="L43" i="2"/>
  <c r="L39" i="2"/>
  <c r="L87" i="2"/>
  <c r="L48" i="2"/>
  <c r="L15" i="2"/>
  <c r="L86" i="2"/>
  <c r="L47" i="2"/>
  <c r="L2" i="2"/>
  <c r="L81" i="2"/>
  <c r="L44" i="2"/>
  <c r="L5" i="2"/>
  <c r="L104" i="2"/>
  <c r="L84" i="2"/>
  <c r="L62" i="2"/>
  <c r="L40" i="2"/>
  <c r="L20" i="2"/>
  <c r="L97" i="2"/>
  <c r="L77" i="2"/>
  <c r="L55" i="2"/>
  <c r="L33" i="2"/>
  <c r="L13" i="2"/>
  <c r="L96" i="2"/>
  <c r="L76" i="2"/>
  <c r="L54" i="2"/>
  <c r="L32" i="2"/>
  <c r="L12" i="2"/>
  <c r="L95" i="2"/>
  <c r="L75" i="2"/>
  <c r="L53" i="2"/>
  <c r="L31" i="2"/>
  <c r="L11" i="2"/>
  <c r="L94" i="2"/>
  <c r="L72" i="2"/>
  <c r="L52" i="2"/>
  <c r="L30" i="2"/>
  <c r="L8" i="2"/>
  <c r="L113" i="2"/>
  <c r="L93" i="2"/>
  <c r="L71" i="2"/>
  <c r="L49" i="2"/>
  <c r="L29" i="2"/>
  <c r="L7" i="2"/>
  <c r="L110" i="2"/>
  <c r="L88" i="2"/>
  <c r="L68" i="2"/>
  <c r="L46" i="2"/>
  <c r="L24" i="2"/>
  <c r="L4" i="2"/>
  <c r="L106" i="2"/>
  <c r="L90" i="2"/>
  <c r="L74" i="2"/>
  <c r="L58" i="2"/>
  <c r="L42" i="2"/>
  <c r="L26" i="2"/>
  <c r="L10" i="2"/>
  <c r="L105" i="2"/>
  <c r="L89" i="2"/>
  <c r="L73" i="2"/>
  <c r="L57" i="2"/>
  <c r="L41" i="2"/>
  <c r="L25" i="2"/>
  <c r="L9" i="2"/>
  <c r="L99" i="2"/>
  <c r="L83" i="2"/>
  <c r="L67" i="2"/>
  <c r="L51" i="2"/>
  <c r="L35" i="2"/>
  <c r="L19" i="2"/>
  <c r="L3" i="2"/>
  <c r="L98" i="2"/>
  <c r="L82" i="2"/>
  <c r="L66" i="2"/>
  <c r="L50" i="2"/>
  <c r="L34" i="2"/>
  <c r="L18" i="2"/>
</calcChain>
</file>

<file path=xl/sharedStrings.xml><?xml version="1.0" encoding="utf-8"?>
<sst xmlns="http://schemas.openxmlformats.org/spreadsheetml/2006/main" count="811" uniqueCount="148">
  <si>
    <t>Geo Description</t>
  </si>
  <si>
    <t>Year</t>
  </si>
  <si>
    <t>Age Group</t>
  </si>
  <si>
    <t>Case Count</t>
  </si>
  <si>
    <t>Crude Rate</t>
  </si>
  <si>
    <t>Census Population</t>
  </si>
  <si>
    <t>Age Adjusted Rate</t>
  </si>
  <si>
    <t>Confidence Intervals</t>
  </si>
  <si>
    <t>Statistical Difference</t>
  </si>
  <si>
    <t>Barnstable</t>
  </si>
  <si>
    <t>2014</t>
  </si>
  <si>
    <t>Total</t>
  </si>
  <si>
    <r>
      <rPr>
        <sz val="10"/>
        <color rgb="FF222222"/>
        <rFont val="Arial"/>
        <family val="2"/>
      </rPr>
      <t>5.2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7.2</t>
    </r>
  </si>
  <si>
    <t xml:space="preserve">Statistically significantly lower        </t>
  </si>
  <si>
    <t>2015</t>
  </si>
  <si>
    <r>
      <rPr>
        <sz val="10"/>
        <color rgb="FF222222"/>
        <rFont val="Arial"/>
        <family val="2"/>
      </rPr>
      <t>4.7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6.5</t>
    </r>
  </si>
  <si>
    <t>2016</t>
  </si>
  <si>
    <r>
      <rPr>
        <sz val="10"/>
        <color rgb="FF222222"/>
        <rFont val="Arial"/>
        <family val="2"/>
      </rPr>
      <t>3.6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5.5</t>
    </r>
  </si>
  <si>
    <t>2017</t>
  </si>
  <si>
    <r>
      <rPr>
        <sz val="10"/>
        <color rgb="FF222222"/>
        <rFont val="Arial"/>
        <family val="2"/>
      </rPr>
      <t>3.3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5.3</t>
    </r>
  </si>
  <si>
    <t>2018</t>
  </si>
  <si>
    <r>
      <rPr>
        <sz val="10"/>
        <color rgb="FF222222"/>
        <rFont val="Arial"/>
        <family val="2"/>
      </rPr>
      <t>3.0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4.7</t>
    </r>
  </si>
  <si>
    <t>2019</t>
  </si>
  <si>
    <r>
      <rPr>
        <sz val="10"/>
        <color rgb="FF222222"/>
        <rFont val="Arial"/>
        <family val="2"/>
      </rPr>
      <t>2.8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4.6</t>
    </r>
  </si>
  <si>
    <t>2020</t>
  </si>
  <si>
    <r>
      <rPr>
        <sz val="10"/>
        <color rgb="FF222222"/>
        <rFont val="Arial"/>
        <family val="2"/>
      </rPr>
      <t>0.7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1.5</t>
    </r>
  </si>
  <si>
    <t>2021</t>
  </si>
  <si>
    <r>
      <rPr>
        <sz val="10"/>
        <color rgb="FF222222"/>
        <rFont val="Arial"/>
        <family val="2"/>
      </rPr>
      <t>1.9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3.5</t>
    </r>
  </si>
  <si>
    <t>Berkshire</t>
  </si>
  <si>
    <r>
      <rPr>
        <sz val="10"/>
        <color rgb="FF222222"/>
        <rFont val="Arial"/>
        <family val="2"/>
      </rPr>
      <t>5.2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7.9</t>
    </r>
  </si>
  <si>
    <r>
      <rPr>
        <sz val="10"/>
        <color rgb="FF222222"/>
        <rFont val="Arial"/>
        <family val="2"/>
      </rPr>
      <t>5.3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8.0</t>
    </r>
  </si>
  <si>
    <r>
      <rPr>
        <sz val="10"/>
        <color rgb="FF222222"/>
        <rFont val="Arial"/>
        <family val="2"/>
      </rPr>
      <t>3.0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5.6</t>
    </r>
  </si>
  <si>
    <r>
      <rPr>
        <sz val="10"/>
        <color rgb="FF222222"/>
        <rFont val="Arial"/>
        <family val="2"/>
      </rPr>
      <t>2.1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4.3</t>
    </r>
  </si>
  <si>
    <r>
      <rPr>
        <sz val="10"/>
        <color rgb="FF222222"/>
        <rFont val="Arial"/>
        <family val="2"/>
      </rPr>
      <t>1.8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3.9</t>
    </r>
  </si>
  <si>
    <r>
      <rPr>
        <sz val="10"/>
        <color rgb="FF222222"/>
        <rFont val="Arial"/>
        <family val="2"/>
      </rPr>
      <t>2.3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4.4</t>
    </r>
  </si>
  <si>
    <r>
      <rPr>
        <sz val="10"/>
        <color rgb="FF222222"/>
        <rFont val="Arial"/>
        <family val="2"/>
      </rPr>
      <t>0.3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1.3</t>
    </r>
  </si>
  <si>
    <r>
      <rPr>
        <sz val="10"/>
        <color rgb="FF222222"/>
        <rFont val="Arial"/>
        <family val="2"/>
      </rPr>
      <t>1.4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3.2</t>
    </r>
  </si>
  <si>
    <t>Bristol</t>
  </si>
  <si>
    <r>
      <rPr>
        <sz val="10"/>
        <color rgb="FF222222"/>
        <rFont val="Arial"/>
        <family val="2"/>
      </rPr>
      <t>13.5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15.5</t>
    </r>
  </si>
  <si>
    <t xml:space="preserve">Statistically significantly higher       </t>
  </si>
  <si>
    <r>
      <rPr>
        <sz val="10"/>
        <color rgb="FF222222"/>
        <rFont val="Arial"/>
        <family val="2"/>
      </rPr>
      <t>11.3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13.1</t>
    </r>
  </si>
  <si>
    <r>
      <rPr>
        <sz val="10"/>
        <color rgb="FF222222"/>
        <rFont val="Arial"/>
        <family val="2"/>
      </rPr>
      <t>8.3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9.9</t>
    </r>
  </si>
  <si>
    <r>
      <rPr>
        <sz val="10"/>
        <color rgb="FF222222"/>
        <rFont val="Arial"/>
        <family val="2"/>
      </rPr>
      <t>8.7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10.4</t>
    </r>
  </si>
  <si>
    <r>
      <rPr>
        <sz val="10"/>
        <color rgb="FF222222"/>
        <rFont val="Arial"/>
        <family val="2"/>
      </rPr>
      <t>8.0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9.5</t>
    </r>
  </si>
  <si>
    <r>
      <rPr>
        <sz val="10"/>
        <color rgb="FF222222"/>
        <rFont val="Arial"/>
        <family val="2"/>
      </rPr>
      <t>4.0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5.1</t>
    </r>
  </si>
  <si>
    <r>
      <rPr>
        <sz val="10"/>
        <color rgb="FF222222"/>
        <rFont val="Arial"/>
        <family val="2"/>
      </rPr>
      <t>4.0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5.2</t>
    </r>
  </si>
  <si>
    <t>Not statistically significantly different</t>
  </si>
  <si>
    <t>Dukes</t>
  </si>
  <si>
    <t>NS</t>
  </si>
  <si>
    <t xml:space="preserve">NS                                       </t>
  </si>
  <si>
    <r>
      <rPr>
        <sz val="10"/>
        <color rgb="FF222222"/>
        <rFont val="Arial"/>
        <family val="2"/>
      </rPr>
      <t>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3.1</t>
    </r>
  </si>
  <si>
    <t>Essex</t>
  </si>
  <si>
    <r>
      <rPr>
        <sz val="10"/>
        <color rgb="FF222222"/>
        <rFont val="Arial"/>
        <family val="2"/>
      </rPr>
      <t>14.4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16.2</t>
    </r>
  </si>
  <si>
    <r>
      <rPr>
        <sz val="10"/>
        <color rgb="FF222222"/>
        <rFont val="Arial"/>
        <family val="2"/>
      </rPr>
      <t>12.4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14.0</t>
    </r>
  </si>
  <si>
    <r>
      <rPr>
        <sz val="10"/>
        <color rgb="FF222222"/>
        <rFont val="Arial"/>
        <family val="2"/>
      </rPr>
      <t>9.5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10.9</t>
    </r>
  </si>
  <si>
    <r>
      <rPr>
        <sz val="10"/>
        <color rgb="FF222222"/>
        <rFont val="Arial"/>
        <family val="2"/>
      </rPr>
      <t>8.2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9.5</t>
    </r>
  </si>
  <si>
    <r>
      <rPr>
        <sz val="10"/>
        <color rgb="FF222222"/>
        <rFont val="Arial"/>
        <family val="2"/>
      </rPr>
      <t>7.4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8.6</t>
    </r>
  </si>
  <si>
    <r>
      <rPr>
        <sz val="10"/>
        <color rgb="FF222222"/>
        <rFont val="Arial"/>
        <family val="2"/>
      </rPr>
      <t>4.0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4.9</t>
    </r>
  </si>
  <si>
    <r>
      <rPr>
        <sz val="10"/>
        <color rgb="FF222222"/>
        <rFont val="Arial"/>
        <family val="2"/>
      </rPr>
      <t>4.6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5.6</t>
    </r>
  </si>
  <si>
    <t>Franklin</t>
  </si>
  <si>
    <r>
      <rPr>
        <sz val="10"/>
        <color rgb="FF222222"/>
        <rFont val="Arial"/>
        <family val="2"/>
      </rPr>
      <t>7.0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11.3</t>
    </r>
  </si>
  <si>
    <r>
      <rPr>
        <sz val="10"/>
        <color rgb="FF222222"/>
        <rFont val="Arial"/>
        <family val="2"/>
      </rPr>
      <t>7.2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11.9</t>
    </r>
  </si>
  <si>
    <r>
      <rPr>
        <sz val="10"/>
        <color rgb="FF222222"/>
        <rFont val="Arial"/>
        <family val="2"/>
      </rPr>
      <t>5.6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9.7</t>
    </r>
  </si>
  <si>
    <r>
      <rPr>
        <sz val="10"/>
        <color rgb="FF222222"/>
        <rFont val="Arial"/>
        <family val="2"/>
      </rPr>
      <t>4.1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7.7</t>
    </r>
  </si>
  <si>
    <r>
      <rPr>
        <sz val="10"/>
        <color rgb="FF222222"/>
        <rFont val="Arial"/>
        <family val="2"/>
      </rPr>
      <t>6.6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11.2</t>
    </r>
  </si>
  <si>
    <r>
      <rPr>
        <sz val="10"/>
        <color rgb="FF222222"/>
        <rFont val="Arial"/>
        <family val="2"/>
      </rPr>
      <t>5.3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9.3</t>
    </r>
  </si>
  <si>
    <r>
      <rPr>
        <sz val="10"/>
        <color rgb="FF222222"/>
        <rFont val="Arial"/>
        <family val="2"/>
      </rPr>
      <t>2.7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5.7</t>
    </r>
  </si>
  <si>
    <r>
      <rPr>
        <sz val="10"/>
        <color rgb="FF222222"/>
        <rFont val="Arial"/>
        <family val="2"/>
      </rPr>
      <t>2.2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5.4</t>
    </r>
  </si>
  <si>
    <t>Hampden</t>
  </si>
  <si>
    <r>
      <rPr>
        <sz val="10"/>
        <color rgb="FF222222"/>
        <rFont val="Arial"/>
        <family val="2"/>
      </rPr>
      <t>15.4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17.7</t>
    </r>
  </si>
  <si>
    <r>
      <rPr>
        <sz val="10"/>
        <color rgb="FF222222"/>
        <rFont val="Arial"/>
        <family val="2"/>
      </rPr>
      <t>15.5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17.8</t>
    </r>
  </si>
  <si>
    <r>
      <rPr>
        <sz val="10"/>
        <color rgb="FF222222"/>
        <rFont val="Arial"/>
        <family val="2"/>
      </rPr>
      <t>10.7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12.7</t>
    </r>
  </si>
  <si>
    <r>
      <rPr>
        <sz val="10"/>
        <color rgb="FF222222"/>
        <rFont val="Arial"/>
        <family val="2"/>
      </rPr>
      <t>12.0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14.2</t>
    </r>
  </si>
  <si>
    <r>
      <rPr>
        <sz val="10"/>
        <color rgb="FF222222"/>
        <rFont val="Arial"/>
        <family val="2"/>
      </rPr>
      <t>12.7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14.9</t>
    </r>
  </si>
  <si>
    <r>
      <rPr>
        <sz val="10"/>
        <color rgb="FF222222"/>
        <rFont val="Arial"/>
        <family val="2"/>
      </rPr>
      <t>9.5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11.4</t>
    </r>
  </si>
  <si>
    <r>
      <rPr>
        <sz val="10"/>
        <color rgb="FF222222"/>
        <rFont val="Arial"/>
        <family val="2"/>
      </rPr>
      <t>3.4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4.6</t>
    </r>
  </si>
  <si>
    <r>
      <rPr>
        <sz val="10"/>
        <color rgb="FF222222"/>
        <rFont val="Arial"/>
        <family val="2"/>
      </rPr>
      <t>5.2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6.6</t>
    </r>
  </si>
  <si>
    <t>Hampshire</t>
  </si>
  <si>
    <r>
      <rPr>
        <sz val="10"/>
        <color rgb="FF222222"/>
        <rFont val="Arial"/>
        <family val="2"/>
      </rPr>
      <t>5.9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8.7</t>
    </r>
  </si>
  <si>
    <r>
      <rPr>
        <sz val="10"/>
        <color rgb="FF222222"/>
        <rFont val="Arial"/>
        <family val="2"/>
      </rPr>
      <t>5.4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7.9</t>
    </r>
  </si>
  <si>
    <r>
      <rPr>
        <sz val="10"/>
        <color rgb="FF222222"/>
        <rFont val="Arial"/>
        <family val="2"/>
      </rPr>
      <t>3.2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5.3</t>
    </r>
  </si>
  <si>
    <r>
      <rPr>
        <sz val="10"/>
        <color rgb="FF222222"/>
        <rFont val="Arial"/>
        <family val="2"/>
      </rPr>
      <t>3.6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6.0</t>
    </r>
  </si>
  <si>
    <r>
      <rPr>
        <sz val="10"/>
        <color rgb="FF222222"/>
        <rFont val="Arial"/>
        <family val="2"/>
      </rPr>
      <t>5.0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7.6</t>
    </r>
  </si>
  <si>
    <r>
      <rPr>
        <sz val="10"/>
        <color rgb="FF222222"/>
        <rFont val="Arial"/>
        <family val="2"/>
      </rPr>
      <t>4.1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6.5</t>
    </r>
  </si>
  <si>
    <r>
      <rPr>
        <sz val="10"/>
        <color rgb="FF222222"/>
        <rFont val="Arial"/>
        <family val="2"/>
      </rPr>
      <t>2.3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4.1</t>
    </r>
  </si>
  <si>
    <r>
      <rPr>
        <sz val="10"/>
        <color rgb="FF222222"/>
        <rFont val="Arial"/>
        <family val="2"/>
      </rPr>
      <t>2.0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3.7</t>
    </r>
  </si>
  <si>
    <t>Middlesex</t>
  </si>
  <si>
    <r>
      <rPr>
        <sz val="10"/>
        <color rgb="FF222222"/>
        <rFont val="Arial"/>
        <family val="2"/>
      </rPr>
      <t>8.1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9.1</t>
    </r>
  </si>
  <si>
    <r>
      <rPr>
        <sz val="10"/>
        <color rgb="FF222222"/>
        <rFont val="Arial"/>
        <family val="2"/>
      </rPr>
      <t>6.8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7.6</t>
    </r>
  </si>
  <si>
    <r>
      <rPr>
        <sz val="10"/>
        <color rgb="FF222222"/>
        <rFont val="Arial"/>
        <family val="2"/>
      </rPr>
      <t>5.5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6.2</t>
    </r>
  </si>
  <si>
    <r>
      <rPr>
        <sz val="10"/>
        <color rgb="FF222222"/>
        <rFont val="Arial"/>
        <family val="2"/>
      </rPr>
      <t>5.5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6.3</t>
    </r>
  </si>
  <si>
    <r>
      <rPr>
        <sz val="10"/>
        <color rgb="FF222222"/>
        <rFont val="Arial"/>
        <family val="2"/>
      </rPr>
      <t>4.9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5.6</t>
    </r>
  </si>
  <si>
    <r>
      <rPr>
        <sz val="10"/>
        <color rgb="FF222222"/>
        <rFont val="Arial"/>
        <family val="2"/>
      </rPr>
      <t>4.8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5.6</t>
    </r>
  </si>
  <si>
    <r>
      <rPr>
        <sz val="10"/>
        <color rgb="FF222222"/>
        <rFont val="Arial"/>
        <family val="2"/>
      </rPr>
      <t>2.4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2.9</t>
    </r>
  </si>
  <si>
    <r>
      <rPr>
        <sz val="10"/>
        <color rgb="FF222222"/>
        <rFont val="Arial"/>
        <family val="2"/>
      </rPr>
      <t>3.2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3.9</t>
    </r>
  </si>
  <si>
    <t>Nantucket</t>
  </si>
  <si>
    <t>Norfolk</t>
  </si>
  <si>
    <r>
      <rPr>
        <sz val="10"/>
        <color rgb="FF222222"/>
        <rFont val="Arial"/>
        <family val="2"/>
      </rPr>
      <t>8.1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9.4</t>
    </r>
  </si>
  <si>
    <r>
      <rPr>
        <sz val="10"/>
        <color rgb="FF222222"/>
        <rFont val="Arial"/>
        <family val="2"/>
      </rPr>
      <t>7.1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8.4</t>
    </r>
  </si>
  <si>
    <r>
      <rPr>
        <sz val="10"/>
        <color rgb="FF222222"/>
        <rFont val="Arial"/>
        <family val="2"/>
      </rPr>
      <t>4.9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6.1</t>
    </r>
  </si>
  <si>
    <r>
      <rPr>
        <sz val="10"/>
        <color rgb="FF222222"/>
        <rFont val="Arial"/>
        <family val="2"/>
      </rPr>
      <t>5.0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6.1</t>
    </r>
  </si>
  <si>
    <r>
      <rPr>
        <sz val="10"/>
        <color rgb="FF222222"/>
        <rFont val="Arial"/>
        <family val="2"/>
      </rPr>
      <t>5.3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6.4</t>
    </r>
  </si>
  <si>
    <r>
      <rPr>
        <sz val="10"/>
        <color rgb="FF222222"/>
        <rFont val="Arial"/>
        <family val="2"/>
      </rPr>
      <t>5.2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6.4</t>
    </r>
  </si>
  <si>
    <r>
      <rPr>
        <sz val="10"/>
        <color rgb="FF222222"/>
        <rFont val="Arial"/>
        <family val="2"/>
      </rPr>
      <t>2.0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2.7</t>
    </r>
  </si>
  <si>
    <r>
      <rPr>
        <sz val="10"/>
        <color rgb="FF222222"/>
        <rFont val="Arial"/>
        <family val="2"/>
      </rPr>
      <t>3.1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4.0</t>
    </r>
  </si>
  <si>
    <t>Plymouth</t>
  </si>
  <si>
    <r>
      <rPr>
        <sz val="10"/>
        <color rgb="FF222222"/>
        <rFont val="Arial"/>
        <family val="2"/>
      </rPr>
      <t>10.8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12.7</t>
    </r>
  </si>
  <si>
    <r>
      <rPr>
        <sz val="10"/>
        <color rgb="FF222222"/>
        <rFont val="Arial"/>
        <family val="2"/>
      </rPr>
      <t>10.0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11.8</t>
    </r>
  </si>
  <si>
    <r>
      <rPr>
        <sz val="10"/>
        <color rgb="FF222222"/>
        <rFont val="Arial"/>
        <family val="2"/>
      </rPr>
      <t>7.3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8.9</t>
    </r>
  </si>
  <si>
    <r>
      <rPr>
        <sz val="10"/>
        <color rgb="FF222222"/>
        <rFont val="Arial"/>
        <family val="2"/>
      </rPr>
      <t>7.6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9.2</t>
    </r>
  </si>
  <si>
    <r>
      <rPr>
        <sz val="10"/>
        <color rgb="FF222222"/>
        <rFont val="Arial"/>
        <family val="2"/>
      </rPr>
      <t>7.0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8.5</t>
    </r>
  </si>
  <si>
    <r>
      <rPr>
        <sz val="10"/>
        <color rgb="FF222222"/>
        <rFont val="Arial"/>
        <family val="2"/>
      </rPr>
      <t>6.8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8.2</t>
    </r>
  </si>
  <si>
    <r>
      <rPr>
        <sz val="10"/>
        <color rgb="FF222222"/>
        <rFont val="Arial"/>
        <family val="2"/>
      </rPr>
      <t>4.1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5.2</t>
    </r>
  </si>
  <si>
    <r>
      <rPr>
        <sz val="10"/>
        <color rgb="FF222222"/>
        <rFont val="Arial"/>
        <family val="2"/>
      </rPr>
      <t>4.8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6.1</t>
    </r>
  </si>
  <si>
    <t>Suffolk</t>
  </si>
  <si>
    <r>
      <rPr>
        <sz val="10"/>
        <color rgb="FF222222"/>
        <rFont val="Arial"/>
        <family val="2"/>
      </rPr>
      <t>18.7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20.8</t>
    </r>
  </si>
  <si>
    <r>
      <rPr>
        <sz val="10"/>
        <color rgb="FF222222"/>
        <rFont val="Arial"/>
        <family val="2"/>
      </rPr>
      <t>16.5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18.4</t>
    </r>
  </si>
  <si>
    <r>
      <rPr>
        <sz val="10"/>
        <color rgb="FF222222"/>
        <rFont val="Arial"/>
        <family val="2"/>
      </rPr>
      <t>11.8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13.5</t>
    </r>
  </si>
  <si>
    <r>
      <rPr>
        <sz val="10"/>
        <color rgb="FF222222"/>
        <rFont val="Arial"/>
        <family val="2"/>
      </rPr>
      <t>11.0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12.6</t>
    </r>
  </si>
  <si>
    <r>
      <rPr>
        <sz val="10"/>
        <color rgb="FF222222"/>
        <rFont val="Arial"/>
        <family val="2"/>
      </rPr>
      <t>10.4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12.0</t>
    </r>
  </si>
  <si>
    <r>
      <rPr>
        <sz val="10"/>
        <color rgb="FF222222"/>
        <rFont val="Arial"/>
        <family val="2"/>
      </rPr>
      <t>9.0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10.5</t>
    </r>
  </si>
  <si>
    <r>
      <rPr>
        <sz val="10"/>
        <color rgb="FF222222"/>
        <rFont val="Arial"/>
        <family val="2"/>
      </rPr>
      <t>4.7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5.8</t>
    </r>
  </si>
  <si>
    <r>
      <rPr>
        <sz val="10"/>
        <color rgb="FF222222"/>
        <rFont val="Arial"/>
        <family val="2"/>
      </rPr>
      <t>7.5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8.9</t>
    </r>
  </si>
  <si>
    <t>Worcester</t>
  </si>
  <si>
    <r>
      <rPr>
        <sz val="10"/>
        <color rgb="FF222222"/>
        <rFont val="Arial"/>
        <family val="2"/>
      </rPr>
      <t>11.4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12.9</t>
    </r>
  </si>
  <si>
    <r>
      <rPr>
        <sz val="10"/>
        <color rgb="FF222222"/>
        <rFont val="Arial"/>
        <family val="2"/>
      </rPr>
      <t>10.5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11.9</t>
    </r>
  </si>
  <si>
    <r>
      <rPr>
        <sz val="10"/>
        <color rgb="FF222222"/>
        <rFont val="Arial"/>
        <family val="2"/>
      </rPr>
      <t>6.6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7.8</t>
    </r>
  </si>
  <si>
    <r>
      <rPr>
        <sz val="10"/>
        <color rgb="FF222222"/>
        <rFont val="Arial"/>
        <family val="2"/>
      </rPr>
      <t>7.9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9.2</t>
    </r>
  </si>
  <si>
    <r>
      <rPr>
        <sz val="10"/>
        <color rgb="FF222222"/>
        <rFont val="Arial"/>
        <family val="2"/>
      </rPr>
      <t>6.5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7.7</t>
    </r>
  </si>
  <si>
    <r>
      <rPr>
        <sz val="10"/>
        <color rgb="FF222222"/>
        <rFont val="Arial"/>
        <family val="2"/>
      </rPr>
      <t>7.3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8.5</t>
    </r>
  </si>
  <si>
    <r>
      <rPr>
        <sz val="10"/>
        <color rgb="FF222222"/>
        <rFont val="Arial"/>
        <family val="2"/>
      </rPr>
      <t>3.5</t>
    </r>
    <r>
      <rPr>
        <sz val="10"/>
        <color rgb="FF222222"/>
        <rFont val="Arial"/>
        <family val="2"/>
      </rPr>
      <t xml:space="preserve"> - </t>
    </r>
    <r>
      <rPr>
        <sz val="10"/>
        <color rgb="FF222222"/>
        <rFont val="Arial"/>
        <family val="2"/>
      </rPr>
      <t>4.3</t>
    </r>
  </si>
  <si>
    <t>Grand Total</t>
  </si>
  <si>
    <t>Average of Age Adjusted Rate</t>
  </si>
  <si>
    <t>Lower Range CI</t>
  </si>
  <si>
    <t>Higher Range CI</t>
  </si>
  <si>
    <t>Average of Lower Range CI</t>
  </si>
  <si>
    <t>Average of Higher Range CI</t>
  </si>
  <si>
    <t>State Standard error (excl. empty CI)</t>
  </si>
  <si>
    <t>Mean State Age Adjusted Rate (excl. empty CI)</t>
  </si>
  <si>
    <t>Z-Score Calculation</t>
  </si>
  <si>
    <t>Sum of Z-Score</t>
  </si>
  <si>
    <t>State</t>
  </si>
  <si>
    <t>Massachusetts</t>
  </si>
  <si>
    <t>County</t>
  </si>
  <si>
    <t>Z-Score from State Average</t>
  </si>
  <si>
    <t>Indicator</t>
  </si>
  <si>
    <t>Hospitalizations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</si>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</sst>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0.0000"/>
  </numFmts>
  <fonts count="4">
    <font>
      <sz val="10"/>
      <color theme="1"/>
      <name val="Tahoma"/>
      <family val="2"/>
    </font>
    <font>
      <b/>
      <sz val="10"/>
      <color rgb="FF006400"/>
      <name val="Arial"/>
      <family val="2"/>
    </font>
    <font>
      <sz val="10"/>
      <color rgb="FF222222"/>
      <name val="Arial"/>
      <family val="2"/>
    </font>
    <font>
      <b/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DAEBDA"/>
      </patternFill>
    </fill>
    <fill>
      <patternFill patternType="solid">
        <fgColor rgb="FF9E9E9E"/>
      </patternFill>
    </fill>
    <fill>
      <patternFill patternType="solid">
        <fgColor rgb="FFEA8686"/>
      </patternFill>
    </fill>
    <fill>
      <patternFill patternType="solid">
        <fgColor rgb="FFDAEBDA"/>
        <bgColor indexed="64"/>
      </patternFill>
    </fill>
  </fills>
  <borders count="7">
    <border>
      <left/>
      <right/>
      <top/>
      <bottom/>
      <diagonal/>
    </border>
    <border>
      <left style="medium">
        <color rgb="FFB8DAB8"/>
      </left>
      <right style="medium">
        <color rgb="FFB8DAB8"/>
      </right>
      <top/>
      <bottom style="medium">
        <color rgb="FFB8DAB8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B8DAB8"/>
      </left>
      <right style="medium">
        <color rgb="FFB8DAB8"/>
      </right>
      <top/>
      <bottom style="medium">
        <color rgb="FFB8DAB8"/>
      </bottom>
      <diagonal/>
    </border>
    <border>
      <left/>
      <right style="medium">
        <color rgb="FFB8DAB8"/>
      </right>
      <top style="medium">
        <color rgb="FFB8DAB8"/>
      </top>
      <bottom style="medium">
        <color rgb="FFB8DAB8"/>
      </bottom>
      <diagonal/>
    </border>
    <border>
      <left/>
      <right style="medium">
        <color rgb="FFB8DAB8"/>
      </right>
      <top/>
      <bottom style="medium">
        <color rgb="FFB8DAB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3" fontId="2" fillId="0" borderId="3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right" vertical="top"/>
    </xf>
    <xf numFmtId="3" fontId="2" fillId="0" borderId="2" xfId="0" applyNumberFormat="1" applyFont="1" applyBorder="1" applyAlignment="1">
      <alignment horizontal="right" vertical="top"/>
    </xf>
    <xf numFmtId="164" fontId="2" fillId="0" borderId="3" xfId="0" applyNumberFormat="1" applyFont="1" applyBorder="1" applyAlignment="1">
      <alignment horizontal="center" vertical="top"/>
    </xf>
    <xf numFmtId="0" fontId="2" fillId="0" borderId="4" xfId="0" applyFont="1" applyBorder="1" applyAlignment="1">
      <alignment horizontal="left" vertical="top"/>
    </xf>
    <xf numFmtId="0" fontId="2" fillId="0" borderId="3" xfId="0" applyFont="1" applyBorder="1" applyAlignment="1">
      <alignment horizontal="right" vertical="top"/>
    </xf>
    <xf numFmtId="0" fontId="2" fillId="0" borderId="3" xfId="0" applyFont="1" applyBorder="1" applyAlignment="1">
      <alignment horizontal="center" vertical="top"/>
    </xf>
    <xf numFmtId="0" fontId="2" fillId="0" borderId="6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0" xfId="0" pivotButton="1"/>
    <xf numFmtId="0" fontId="3" fillId="0" borderId="0" xfId="0" applyFont="1"/>
    <xf numFmtId="0" fontId="1" fillId="5" borderId="4" xfId="0" applyFont="1" applyFill="1" applyBorder="1" applyAlignment="1">
      <alignment horizontal="center" vertical="top"/>
    </xf>
    <xf numFmtId="0" fontId="2" fillId="3" borderId="6" xfId="0" applyFont="1" applyFill="1" applyBorder="1" applyAlignment="1">
      <alignment horizontal="right" vertical="top"/>
    </xf>
    <xf numFmtId="0" fontId="2" fillId="4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164" fontId="0" fillId="0" borderId="0" xfId="0" applyNumberFormat="1"/>
    <xf numFmtId="0" fontId="3" fillId="0" borderId="0" xfId="0" applyFont="1" applyAlignment="1">
      <alignment wrapText="1"/>
    </xf>
    <xf numFmtId="165" fontId="2" fillId="0" borderId="0" xfId="0" applyNumberFormat="1" applyFont="1" applyAlignment="1">
      <alignment horizontal="right" vertical="top"/>
    </xf>
    <xf numFmtId="3" fontId="0" fillId="0" borderId="0" xfId="0" applyNumberForma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B8DAB8"/>
        </left>
        <right style="medium">
          <color rgb="FFB8DAB8"/>
        </right>
        <top/>
        <bottom style="medium">
          <color rgb="FFB8DA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numFmt numFmtId="0" formatCode="General"/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numFmt numFmtId="164" formatCode="#0.0"/>
      <alignment horizontal="center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/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numFmt numFmtId="164" formatCode="#0.0"/>
      <alignment horizontal="righ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/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/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numFmt numFmtId="164" formatCode="#0.0"/>
      <alignment horizontal="righ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/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medium">
          <color rgb="FFE2E2E2"/>
        </left>
        <right style="medium">
          <color rgb="FFE2E2E2"/>
        </right>
        <top/>
        <bottom style="medium">
          <color rgb="FFE2E2E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medium">
          <color rgb="FFB8DAB8"/>
        </left>
        <right style="medium">
          <color rgb="FFB8DAB8"/>
        </right>
        <top/>
        <bottom style="medium">
          <color rgb="FFB8DAB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/>
        <right style="medium">
          <color rgb="FFB8DAB8"/>
        </right>
        <top/>
        <bottom style="medium">
          <color rgb="FFB8DAB8"/>
        </bottom>
        <vertical/>
        <horizontal/>
      </border>
    </dxf>
    <dxf>
      <border outline="0">
        <left style="medium">
          <color rgb="FFB8DAB8"/>
        </left>
        <right style="medium">
          <color rgb="FFB8DAB8"/>
        </right>
        <top style="medium">
          <color rgb="FFB8DAB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22222"/>
        <name val="Arial"/>
        <family val="2"/>
        <scheme val="none"/>
      </font>
      <alignment horizontal="right" vertical="top" textRotation="0" wrapText="0" indent="0" justifyLastLine="0" shrinkToFit="0" readingOrder="0"/>
    </dxf>
    <dxf>
      <border outline="0">
        <bottom style="medium">
          <color rgb="FFB8DAB8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6400"/>
        <name val="Arial"/>
        <family val="2"/>
        <scheme val="none"/>
      </font>
      <fill>
        <patternFill patternType="solid">
          <fgColor indexed="64"/>
          <bgColor rgb="FFDAEBDA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B8DAB8"/>
        </left>
        <right style="medium">
          <color rgb="FFB8DAB8"/>
        </right>
        <top/>
        <bottom/>
      </border>
    </dxf>
  </dxfs>
  <tableStyles count="0" defaultTableStyle="TableStyleMedium9" defaultPivotStyle="PivotStyleLight16"/>
  <colors>
    <mruColors>
      <color rgb="FFB2182B"/>
      <color rgb="FFF7F7F7"/>
      <color rgb="FF2166AC"/>
      <color rgb="FFC050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[Massachusetts-hospitalization-Chart.xlsx]Pivot Table and Graph!PivotTable4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Massachusetts'</a:t>
            </a:r>
            <a:r>
              <a:rPr lang="en-US" baseline="0"/>
              <a:t> Hospitalization from </a:t>
            </a:r>
          </a:p>
          <a:p>
            <a:pPr>
              <a:defRPr/>
            </a:pPr>
            <a:r>
              <a:rPr lang="en-US" baseline="0"/>
              <a:t>Asthma </a:t>
            </a:r>
            <a:r>
              <a:rPr lang="en-US"/>
              <a:t>by</a:t>
            </a:r>
            <a:r>
              <a:rPr lang="en-US" baseline="0"/>
              <a:t> </a:t>
            </a:r>
            <a:r>
              <a:rPr lang="en-US"/>
              <a:t>County (excl.</a:t>
            </a:r>
            <a:r>
              <a:rPr lang="en-US" baseline="0"/>
              <a:t> empty CI)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 and Graph'!$B$135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and Graph'!$A$136:$A$148</c:f>
              <c:strCache>
                <c:ptCount val="12"/>
                <c:pt idx="0">
                  <c:v>Barnstable</c:v>
                </c:pt>
                <c:pt idx="1">
                  <c:v>Berkshire</c:v>
                </c:pt>
                <c:pt idx="2">
                  <c:v>Bristol</c:v>
                </c:pt>
                <c:pt idx="3">
                  <c:v>Essex</c:v>
                </c:pt>
                <c:pt idx="4">
                  <c:v>Franklin</c:v>
                </c:pt>
                <c:pt idx="5">
                  <c:v>Hampden</c:v>
                </c:pt>
                <c:pt idx="6">
                  <c:v>Hampshire</c:v>
                </c:pt>
                <c:pt idx="7">
                  <c:v>Middlesex</c:v>
                </c:pt>
                <c:pt idx="8">
                  <c:v>Norfolk</c:v>
                </c:pt>
                <c:pt idx="9">
                  <c:v>Plymouth</c:v>
                </c:pt>
                <c:pt idx="10">
                  <c:v>Suffolk</c:v>
                </c:pt>
                <c:pt idx="11">
                  <c:v>Worcester</c:v>
                </c:pt>
              </c:strCache>
            </c:strRef>
          </c:cat>
          <c:val>
            <c:numRef>
              <c:f>'Pivot Table and Graph'!$B$136:$B$148</c:f>
              <c:numCache>
                <c:formatCode>General</c:formatCode>
                <c:ptCount val="12"/>
                <c:pt idx="0">
                  <c:v>3.9965815069785</c:v>
                </c:pt>
                <c:pt idx="1">
                  <c:v>3.7544895947247494</c:v>
                </c:pt>
                <c:pt idx="2">
                  <c:v>9.0382926892901239</c:v>
                </c:pt>
                <c:pt idx="3">
                  <c:v>9.2388009179246247</c:v>
                </c:pt>
                <c:pt idx="4">
                  <c:v>7.0644045309993757</c:v>
                </c:pt>
                <c:pt idx="5">
                  <c:v>11.513200212441875</c:v>
                </c:pt>
                <c:pt idx="6">
                  <c:v>5.0852334221578745</c:v>
                </c:pt>
                <c:pt idx="7">
                  <c:v>5.5256951986293767</c:v>
                </c:pt>
                <c:pt idx="8">
                  <c:v>5.631737394947125</c:v>
                </c:pt>
                <c:pt idx="9">
                  <c:v>8.0579427159202499</c:v>
                </c:pt>
                <c:pt idx="10">
                  <c:v>12.003588069068625</c:v>
                </c:pt>
                <c:pt idx="11">
                  <c:v>7.8093690648582514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5-4F2E-BF33-673235E45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23895775"/>
        <c:axId val="1123894335"/>
        <c:axId val="0"/>
      </c:bar3DChart>
      <c:catAx>
        <c:axId val="1123895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94335"/>
        <c:crosses val="autoZero"/>
        <c:auto val="1"/>
        <c:lblAlgn val="ctr"/>
        <c:lblOffset val="100"/>
        <c:noMultiLvlLbl val="0"/>
      </c:catAx>
      <c:valAx>
        <c:axId val="112389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Age-Adjusted</a:t>
                </a:r>
                <a:r>
                  <a:rPr lang="en-US" baseline="0"/>
                  <a:t> Rate per 100,000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3.1134076990376208E-2"/>
              <c:y val="0.198470034995625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895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Massachusetts Asthma Hospitalizations: Difference from State Average by County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Massachusetts Asthma Hospitalizations: Difference from State Average by County</a:t>
          </a:r>
        </a:p>
      </cx:txPr>
    </cx:title>
    <cx:plotArea>
      <cx:plotAreaRegion>
        <cx:series layoutId="regionMap" uniqueId="{CC9CFBA6-846C-40D8-9E86-3BD0FF57E1C8}">
          <cx:tx>
            <cx:txData>
              <cx:f>_xlchart.v5.2</cx:f>
              <cx:v>Z-Score from State Average</cx:v>
            </cx:txData>
          </cx:tx>
          <cx:dataId val="0"/>
          <cx:layoutPr>
            <cx:regionLabelLayout val="bestFitOnly"/>
            <cx:geography cultureLanguage="en-US" cultureRegion="US" attribution="Powered by Bing">
              <cx:geoCache provider="{E9337A44-BEBE-4D9F-B70C-5C5E7DAFC167}">
                <cx:binary>3HxpU9zI0u5fmfDnK0/tqjpx5kTcknqhm9UYvHxRYAzaVVJJpe3X32zjBRoG7HnnjRtnCIcNqKWs
qtyefDLlf1+P/7oubq7sb2NZVO2/rsc/XiVdV//r99/b6+SmvGpfl+m1Na257V5fm/J3c3ubXt/8
/tleDWkV/04QZr9fJ1e2uxlf/eff8LT4xhya66suNdWZu7HTm5vWFV37zLUnL/129blMqzBtO5te
d/iPV0dXbXt1nbj2puvaVw8vE7icfv5c3LSwit9uqi7tprdTffPHqwdPIa9++31f2KOF/VbA2jv3
GW5m5LVgnBFfqK9fr34rTBV/vez5+DVFPkOU87vr/jfhx1cl3P99Tb8FxlXd9O3qk0v7srCrz5/t
TdvC7r78+9QjHuwIPvB/nzmL73Kvd/J3uohBLX+8uqjS7ubzb+fdVXcDZ5m25ssC7RSY3b4vzr8c
1O8Ptfmff+/9Ao5u7zf3FL5/zi9deqjQl/W9tFdVXqTVs2f6y+rm0pe+whJ9+QJ7eaBuMAeECPfl
V3ug34Tfqfvbkr6f+jOG+LS2Hz3hJ5T96J5/nq71la3a7upTcfPtwJ/0oF/UNn4tfF9ICTr98gXa
fKBt9JpyRSRl/O76nnP/WNRf1/cTz/gJjT9x1z9Q5zc2b5PU/q0qJ68ZaJMI9icqp68JJxL5An+P
93c+fOfg+tua/gcaf/SIn1H4o5v+C/T9/BIf7HoX7SGN/Wm4/PW0jX1CfebTOz3jPc8Gz0ccUSr3
XHoPYvz5ep6O3nu3P9ji3Q6fP5P/xjSsLSA0UzyjvF8GXfi1QlhIKvGd9vazMH6NFBEc02+o7Jvw
r056t6L/gYvuPeAJPT74FYDPr6fwXeY/T8+L9m+H1kwwhuTOB/fSrmKSg4rJnfr5Q/V+Wcj3g/5T
FyV3xcgjPP3w9gd6fBpLP7zhn6fY9VVZf775m2E0RgQCrO9/z6IPNExec8l9zqh6UsNfV/TXdbz/
gJ/Q8v4t/0w9/y/gKepziZj8qmi158ugaaykz/jToXp36l/W9D/T9cNH/KS2H970z9P3sbG3psi/
Bc+/o2AirwkTXEDV9GewCvuMKMq/Rm7xTfhdYv66or+u6/0H/ISm92/55+n5tJhK47rk21n/HYoG
BMa5zxRk4S9fj1O0ELvozb+WzoCv75dJ35b01zX96Ak/oepH9/zzdH3ubv9+n6Ycojf47NO5GsA2
l4LibxF+D419XdFf1/T+A35C0fu3/PP0/M7Y65u2u7Hf/OrvcGqI3oJgrMhX1PW4KJaIECrZVy5b
fhN+F72/r+mv6/rxI35C249v+v+h7z/nub/3D8Kr7mrxpfNwj+p+/uo3jnzv1ueIkLs4e/D5j1eA
sBlQlt8bGruHPAjDe3TEoztvrtruj1eeUK+B5RQY+5xTHyPFXv02gPXBJZ++5khAd4NIDsUap2Az
lbFd8qU1AqUbZRJuA/wnCZhLu8tDcAm/BjNSCvkSSnTMkPjeGDo1xRSb6vupfP35t8qVpyatuvaP
VxBg6rtP7TbJ4dHYR8qnHMP3sDpgA+rrqzfQe4IP4/+j6CS8vPbqtUyL28TEauVJE+lUokHfO52f
lATIhUFLR1CC6Z6komIVm0cMksg86BLVH+vKjHqIEhf8uiSQoShiPmFQ7T7cU9x50WzrvF53Q+6C
yKGTti8zLZr58pcFAY9CGOIgDoGsh4J6v8DK2LleT21+mxf5beSltxn8+1fEcMmwDxp/pKNOJHOb
8LFeR96gFko2jW4TUQT5mP6FowNbBYbAV9CHwRgw5n1ziGtUMpPAjvqotIcjcrmODJGHtspe2NTu
SXuGJwUhioCesGBy7+z8vpRep4Z6nQxDroWb3kzxeIm96bLuexk+f4LgLY+FUQHYWhKolfjetjzM
DfimqdeqaWXot6VdZ7KJtPHSKyTjMkiZpRpPUffrpigBy3GqfJ8Jse9ewhpHiqSq13WTmnNnG6q5
8vJLL4Pvnt/j7sAeHSj3oaMioIAAr36outllbkpNWa8919h16eppkREUnT8v5Yl4IcU9KRCy7huI
lIr1nitAihr5ltjxsi+HalPZv3Z09yTtxYshLxPTVyApKdwUijG7mo1XBD/hXujxppSESAiW4StG
oB/9cFMmKrksTV2u656YsEa9l+up7sbTmZXTQkXIhFhZvGwA16+RHU2YFVQtaMOqTd9ASRcMxh8X
coxdYE01XPtJWgZ+FtED5SO8dH5+O0lGD+IZ90e130ba1nMrNFGm0aaGj0xJVC5QPpDAQcZY+2NT
nk1WkXe5T8wBj7LoY1/2UziUI19H/pxrM1VqNWRgz7k/ijhoJ+eVOq9GGfZNzA66LqkWLi+qRUf8
6rzzMrZBah6umwiiPO4ErF1gkJIxsx1k22dB4svELCZWoE9ZnnhB2sJ6PKLYVRnBpvO+q5dGxfVJ
TGYTdhyIiaCnUZRp7Ao16oZ2aiUiWy8bFI2LrHEy9GztBSWC3c0lBK4y87vA7yoSRD4ElyROq4UQ
kAIqf8TLLqlNF/QK0w0r+3SV2dlsMepMKMsmXUlVeoFfIPIuTnq+HWOcfYylKS7FkKerpqX1h0aU
5F0Ee6+1P+D6Q10yN8Oa+qjQiV+rLqB0Al8fBfNS7TFbXLaD5FvpteWZ56XdxwiOZptkTX0iXHaL
MOjUZYK8K2V6O7ZDdN6J2RwMu9CYtK3ZTgUx+dIWKI/Bt1WRnGapGN9kY8oOIKJ3QdSX6aqPC6oB
BqSJLoirNmlMJdXMxelxTGt1kom4uhWewsfYZHCIruBVSLxBSv3F7Is2ZpsZRfIwEXBkeQqHELkk
C2aWTEHZ1PFbORPYUuyn+Uc1j5Bim8GEEU+yMiy63syBma0oVmlFUH2EXV+rUCRR/z6Jak8tCO5b
GVQmT2ctUGUPPZPO76RX8bdjlZe3xE/MBvY4AUiDyImQbNYsw+rSEIHf0sqA/XCLeBpYxvtcqyTp
zdKNpTq0Y021UgRU0EVjzvVI6thoL869AGVCXbaNBbdjaPaCnkGKmyclVx2te6d5MdTJZVd5cb9y
ssqu1EC8parAj4RvcKxT1Rerto/GN4NV/fvZzvmK164rloNnSbrMasrnxZzJvNG2jQenxZjjT7Oq
289kBt9iXjThsBh4e9H7Xf0hzhjf+lMBMXQ0sFjrPLoRiKVTyIbUC3AOmuBJnH9sYlJtxiiuFnZs
SZDb7JbIRB1GWNANLAQvcVxOoTe1zRAmpUiO41yNCxcXapV5oCFHIfU5ClEtkVaGPFHRedZbl4dJ
PSY3Va34uspFryeRiPmQYfe+bqd+RUtTWq0cGMI8yGozsPS2jdJGN16HghYXK2Xjm85ZP0za8bxq
yLoz/SeXTOmmrARZuKgWW0iF/lniwClxBctCuOiP+s6qRZyDnzPZRZrUfv5O4nreIjUuy9kvgnge
6y4oh7zNdZ5mqaZdAUYNUXE8TYp6CiuXqRMKoHLZeOD1uSumsO/rSNM2mxazhehWDl2/wru8WzPY
Nymzq7T15IkcMn5VjK08o32Hj0084LcZi+hmdGBROQTUj05FRYCKyYR9Bdvn7QxuVMpGnXSVG65b
zxZWxy3EnITl8gwL22iGiivOIVBaC/FDJJ5/Nqdjrom1Uxj5TRVpTp08i0xuD/HgIJJ9QVpO2WZV
oNKF2ZRBECPOhGIA0dYYu05b2QVQEQ7XCa8O6qqodKxaBBaMyMKmxQmtO7NMBipBCWV90jY7XG2I
2Ra4BmMamsSlusQsyH04nTRSQ1gKhxdfou6QpB+6XOIbNEC06nc2wtGMj/OoS48zPsbLfkoyiHGA
JLTndfw4i/myZdkc9MaSgNMZImJnxqCfhblIRzih2Y+qcES+DZjXDoEDDWe6QNauY8gGb/s6jgIp
qmoTza48ax3EHi+G6DEocPq8L+HMlXFLmvFGx1WfHtOIoE8Ku27bexzwqHEnMm+LdStQv8oSo1al
ir0jGEE7oSnt33tZ1p5MY9IdRdn8LkV0eCfzSYZyMumKzZivZ5XOiyppypPas9FpkX/wG1uGKU1u
TRzFAevSC/DnS9ujeE2k8RZJXDZBh2h9wqaWFJAW4xUE908eN04TH5JeriAbemlSXDYVRF5bQcRB
pcRvU4RrE8yg0vouyArW1ssZdLCE2mvQuRj9APJ2FfRTMbp1STizqypRmuCkHnTXqqzSU1FAMMug
yGvARDJVBjhG+UE1NEhpWfuprnJb2nDqm9nqoqZpqWncdEjzaGhKXZfkoi1JuRkaWm6M36E6MNI1
G1q0LnS4nEgRRs1ofLGdBjKWMySfwkL8K/0hetOQIR1ClGeJt2JpXyabIVO0HzUpo15uWO9MpSPh
qE8DwOLWCT0r69+2U5ZILfu8vKm5iDVOY/9glH6Ng2FStgV0w9GiaUeI65P08ykNOtt1p5XwY20z
5pQLWhlni65OLAtn6nBfQuxpP8oc5V1gxuJ8yOhY6BqLGBDCFLFU1/7Ub6oiy8O0Rp+YdOs6yzLt
TbTUjHvJkgjwLwgc/RnnmXeEaeVlYeeXI+RqMq3ATwnVJmsn7QrZrUnjusXYRFd5wvOFP5B8QZCR
ofEb/L7syHjsIEdjPcYWhRUjzgtUQedjcNf4Oi587HSOW08X/qgAWnreQTpyJJd+XEJ8YwLCN4sB
nUC1xAY9MFXwsIYNr3M3lGUgJ96vngfYeIdrH+B4IJCg9kdIcUooZnsIu53nmLkWFesGEmgoyNAf
dbFDvpYWcEIH0PJ4ol6SaDIDrsiVNVtweL7taBmnGquXCjVgox+vBxgCaD7wXbG7X6jFJAYfgPXY
El86NG1tDjF18NOrqnBvognS3PMn8KgyhPkEBKUhYxjwuEK7Yu4eJdGynpfxUBfrvgEQVkUuggQF
6biqErP12GQOnpeHH8H/nUCfKymRojC2slc5VRYADhN5AQGlGTwNUcLA4GzV12Fmy6vOM2oBs1SA
B7kcTr+kncHMWKwSMuBlggsviPKCX5m56VdjC3n9+fXRp9bHMaF81xoCJmmvPKnH1HiSuXydlCXb
uL4tbw1twKeGbmhRqWMGYLsoCnCkJMPdcS8Aa+IcVlxjANopbAKgTLWRpJHhRKDybNO6KoNicnzL
SKoOK5vZw1y0atH1TVrrzkV8HUcQlekIheuC+WV0ThliV1SwudcK/lpJD/tnU4QhAUfTWFyiNM0+
fsmKVYWUDIY5J8kLZ4F3utjzDswBUSIkBFdc7hlH7IYog+yVrzuRAd72WqO7MYuDgbL3Tep7aw9g
o5ZZQpbcKh7Etts8r45HdbaiSkjCwWgIBTPdW0E3iUHUKU7XCurtFfdis63Z8FIYeMRYgBQgKoiA
OSvi+/s6d6nrI1GZdC0YgGcRQ+CqatEFDVFQZ4jcUD1lUDwkOYDe5zdIHp8xQBS6438UxpTtl8MT
zllviyFZs3aIo3XBjDr0okh9LB1A49YMfDpRHleXFZsuczU1t17Nh0U39TwOOlMl6S7e2k43hZN0
EXc1wEmW2zXgb3WYAYH5uYlw1B14UQuF65fVf2WIT+9s4Y7hvDb1ZNM4+Tr9/v3H/7w1Jfz5Mj39
45e74fkfPx19m7p/9lOrG7Oj59v9D+1W8/1ZsJivq9txxA9+eERY/wklfTfE/ycX/5yvhtTxg3YG
l4CBWgXp4s856+8TAU/f+JWy9qGXAeN7AnMMJo6YgLmDH5Q1EsAQSqCz2I57hiX8oKw5DOoTH/gT
CFL0PmVNXkMUIBLGUhiBe/mvMNbkcYYE6RgxBmwyBtIc72WkxjDPyike1jISR5kiuitIe2oNp1uo
HbpglmwMs6FqeeBFrr40ERSSg+0KjTsMrJjjG6gdqtAh3G5i0Yn1UMhEj6zzA5nPWJO44StFkw+m
wHF+KdK0WWM/pcelqrqjrB0Dv0zKFRZzuWUzWnRx9ZYIIBZlemQbtxQjXtuu4XrOqlVBmkWM1Gqs
/E9Rzt5Sj/oaR2LjNWIjSvphjtUFi9s8CTvbnGdeZoM8U0rHloC/M5lsiUr8U5eiqywuNtNMNOqG
IyD4IJCT4U3V1GSRj+p0hmI5LBxNdFQVvo4lKgOYA/uQF/SCtt1tOhYfE7/ZepExcRAxFyLDOZRk
qr5oMV3hsbVazvUKAbOyYj6/LHObLpTzb9OMBNL22jk7w4PdceXnC1l4Loi9cpW06bJV1UHn1+th
zpbKo4thdLHubM20YMXCpDLXw5iggHT+xo1sFfvusMfmDSr4qqTlkmABYWO2WHcIfcjLfCFscQqM
2CFh05Y3ajNIvC1jfNLkSSDJFAKfu6qG9qSASeewMZM2icn0zJuDzHcBytvtMEMQSmW9KYX81A7s
fKyKZUIbFnhtc5yTOfQSe5ggss7E/NYhcpHhEmgaBuxREX2gRJyzMisCrNwq7uWnvjUbMRYHRpFD
SDZiBkrJzX5QdlNyURfKN6u0lieJB4Wmlmnke4tO4GLUOOscQOKovmFNwXTS96f52H3yZ3qWePRa
8WqbMTAr2S1p+zb7BKrHcj2o2D8enR9tOs+/sDRKFkOsAlw0Dq2n0earyQxZ6Epc+QtjpS4n062B
rYyT0NmpXBtc4jbIa/AJoCYzpVPqVydzpi6sz95HUU6DbK4aXfD0LFfZYYPrd62QJuSiPGIYZHlN
66Ewboq8CoDF9zRhBVTteZSkocly+MXoKd4GXVP1W5IWzWJCtuh0N0VlwIaiOWhoZw/KHkk9ON6F
4zidjMISPdTTrrSsaXX6v5IA/ptCO3DSiD4X13+8snA/sH+97X4jUkBjZ9dNxARA5reYjl7DlBmD
sE58aF/DKxv3YzqSAAWgRQOgB5o0EGp/tCHh1Q0wQ0C9DPps4pfakFg8Bh3QI4EWJPRKOPQh94N6
jntWOZql69jNY6iSMnBAI15FVUrpOZCYRqyozZmu7SAXXWLRdjKJOo9o2tug6OV0hrLEzgEw2W2A
sHcoW5Ge1nFhccho2Ws6cxRkXXQ4Z2YhvPkE6r51WTch1J6JbgY5r1CEW20qV2+s74olsmiTc6QB
Cq1IOVzMbZ0FbUV4QNIuXzdjB2TsOB4XY5JtmMvIAVPNOZud2GII+qnLzn3wtwJKBD3XbbUeCXB5
BRCcWQtASZBln6ebgWR1MGTdJgHeT+XVOi/nMxWLTcPzFmjUWkfSD4poqmALiQyh1nhb5Z0LeHLb
VOR2wsPWGUNP+hh4DMIaT0Ortyx02o/4phpwrgvTFMFM8VlbzEngCTkAQEsP01ymKqhYR64FpEID
S+OdC2nR9J1WJCVveZ4CEVxO0bGYkfnYNo7bABra7ioFgLBuij5aFDnxwthYC2xnFCWhJ8fowG9z
93YsmvEyQZ5/4vGuEFj78PdyogqnC1b72Raag2zUFnN3ozqWLTvosVhgPHRMZyBJem8OB19t+6wa
AqjSIOR0DkoK0VTd2uL+oJrVwJcpUGxUD4VVwPBGDQ7KPkL+so3jJpBNtnW2SpeVzcVBghv6zsQT
9gIXxRMJSE5ZrqE7mOgp7VrNSo6Wsx9XZ6ScuiUqzHRedcCc1I4MazFKsmkmNxy2U0Ih1Gfk2Pdz
fNxnsl4Vpo4XpTL+GeF1vkECiKiBDCiYEXXBFA1oE5WiWMqpL7d1P6N1gSPIgXGkltB7mnRbCwNc
oMiOSNbOazLO7R238Hdj4/+m0HiHench689R75cZ8/uB8cdN3xAveg3FNbwWAXbOxf3YCMMWfAd3
GYxcfA2AP/AutAxhfELBNAORCuYwvsdGeBEKXmTcwVOye+URQPk3bP+ggIF3eb/+/NKIBgRoAtHR
h/FPsaMH7vEhiZEMcFRdQ1Nweh+P4ORF5esyjbf3DuVn5cCLH5AJCNAMu/3cl+NTygyZYWwi6osC
kGV7lJZVHtp0eoHielRBw6H5MKDO2a4cIBjKi/uC0mL02aSgGw9dBM0iaCFAWHt+L4/K54ciCJQp
90VgoE4ZIFKYY/AuGD1uy3XOr5sh1R0EIHeHOO5ez33i4B4xZCDsy1wBo0wJeDXqobBqjEnDe9jP
lL7DJFvm5k0WD0FhWk2qF4rzR1zQThZD/o6J4wirPVm2SMdKUVBSS7tDgauDzBTLlHvFC0TLQzmS
+cD4CcmVD+PnDDa3S9f3jA5SiYA3rqd6jSNoVttRM6BVPPbueTU9pPoeS9njOqdu7oxzICX2CLQF
qQrcPN00fXrV2vmXrO6xrD2TEFNGc/NliqY/FA1URipbPL+bh3bwVQLMEIBFMwSzOntnplg3TIOC
OR2oO7Zxlx3EYgqypt2W0gQ8F+vnxT10oztxPqKYwxvVIA/tbSidfS9iu1mdwQAEuS7V2fPPf+hD
j5+/Z2qtrOOaKlBOlPWLAsrbSEILwVAYMOHbmJMjmlbXz4t8yurub2m35XtWh/OGpT4BkdO0LvOb
HhpkKZuDvyIE2EMKNDvg3r04R3M34yKDQbS+K9fOndVVvOyUfcGBnjJtYCkQUUCXwOt2e1uZ60YB
3QraoRnSebHy0NVkPljxQux58sSApAMUvhsk3JUJ90+sZrKVBSH1mgPEtXSNm2vpvZAYnrJr/56M
va1gI0SkEIOZn6TSI7SvxmjLoFdI+hv1kpc+IQveHiZIwkTdbgBtT1YGoDerYlCOK8LZTwJUlQDq
TnN0WdqXVLR71g8u+YuBgyypdjwyQGK+56+uiiB556JeNz7SImGaxy+46BMuBJ4Jr1PCFOdu7myn
vXv2nFjoEnUVBRdqfKCiM90kt9i8i8W1xe/HKv11m3sgbs+yh9o3DbDWYHPyQpjzwi7ngeome8GB
CN1Z1aOT49CMAOijgIbbCz218CporcK+JniN9Ly1JNNKDhsYFilCL29P/XQIpiGGONsGyVydTfEU
znJcz2gKVCrWfg2DAxFv2MbO5eeJt4O2PFVh2XtQgDXQFbUIH+A2ZTCOWnyq2/TC89DGr+MKxlr8
edHx5rJKcujRtn4WZDkg7LH0z0xasFNlc/gPOoDH6bpBt9HYH8Ym+gTzvleCTG8RMlNoy35Jx4Rs
YeqALPqeKeiNDsu6YCLo6nKFJnrQOtqvvJFdEDYfqVpANznb2SNfCiC7eVt+ylDmHdYqCWOZngxl
sYzKNmiHVuneCrVuoWk5tMW4jcr6tDbDhZEVPxs72YSqVO2imPpTObFW+wkM3szV27Gv2oD4EgYY
qDlirH4/ufy0ZGWQDXRV1gQfAv9zUMZNH0r3rsxoGVS5vAEL38Dg6CVz7sSfgH5kOJwTsfAnqHN4
jXWMUb/oqQhi5zI9TpTAXmLI61lKwmiCElOh8ca14wFrzFtbsKOIewd5M/GA1wAtGG/RCkbHVoIT
A1xPbAMvGw8EooHPvfdlYS/iHM2THoQ87BOo6SBlHDjioE/YtO3aVZYtWkLnBcwK5gu767jiKukC
1JijaupgZYlfA1yKSBMdz00Ko2bG021hF8hT9AIGm4atSqm3rL1pOuZQKaVBWlp0kPAyXzYJBe50
nMUErfaMSk1aYGeTtsLbqKnFIazNu0KT9fIFDEn3jXYwexq6mLvFABNZWgFbEgG4GWJ4wFDNRyVJ
0qXw12SDeAITcVndxAEM+8lA9gQGUSo5AaeYdNBXLkQ4FnAzigM4hktTGX89wiDrlKtzQ3uuZa7e
iazekqknWkTwNKBOP3YKf3AetmEVjWLUBeVuwyoEY3kMeMzCzVddjEeYc0J50HXuQlK0Ms5fNiV4
QGyac9t4hzbh9p2HWbVOkozpIu3Khcsk0gMuq3WXjydJ7j57fnLtl3YFNPM6wqPRjW/eZ9Cx0mPu
Rm1MGwWOILajPQsYHpFA8AkDo1kcbswqMgVtkW8b50NRj1d5Y0Il+3iNhUEwlzL1QYGBDKyHDHj4
dDpu6zpb9bacll4+x8eGdylMvE1d+MtJnEFZBmPX0ChW8BLkw8ga26TskHP1GhXu01gPQaTKC6de
qiOeyOLQhQakTeC/PHgM7Wd/bkqew5SywSuf27COTumwgFbHCyH1JTl7aS82ZMz8EoCPgXDmqbWo
nWbxG+elLwh6KueR3XABkHo+cHt7Oa8FDqu2FcCSiJzNbDuVR8/r5amNEHidgMBEBLB4cq+2g9a9
SRAMOK0RDBx2AmwmDfLqo0p/HZNAX/S7HLW3DyBuvCbe4YSakHUPI3guvuLpLS7Om/oFWP/ClnYd
tvtJPKJ+B3QWiIq9U9NeJvEHlL5B40ut7ac182NHezm1MCmM9gyoXouJHnLrbSaDX3CaXePuXt6+
e9vD/1Hif+ms3cMjdvKj1E5QFsMMjV4m4YHR7zl8C1O++u2s00Ws3340+uQtzFXqNzenfaDf0vDT
qKH+09djMAcfpD7e3J5dtovtbaLB74NJHx+34YfF+ToLLi8/X9xOetJ5eP5CNYKfQIb0fm2wh6XS
eMzVjMFyu2V1MB6Wm2SZr8QBOwAGNyRLE5J1sgHQcPC8QbMn1P9A7u76vTMDItCH9jtUde8/LjGc
lVk4nQUUDmh3LFAVhc3K11zz8PJk1ll4MGsaNhoOLQ9W8aoMyqDT76T2V/IYuoEbG5DD+uPtS29u
kCfOBzziu2fvsyoNtC9b2kAIGc7kkQ27EAVi04JO21WsoXO3bJfxSh7EC7NSAdPeKtv2KyBGj9za
f8HOnjRlBf1hzqBvAJ2Dh0fmTwjqkgngIRPbsvnYo/fP6+ShGd8Bd5g6/3/sncdy3NiWrt+l56iA
N4PuARLp6UVSoiYIiqLgvcfT328nRdHIHZU6onUjlCNVkZlIgMDaa/1uf/n8V8Uf2Usy9RpPpN82
J8NQnspjt1CkcVElyPVlulHkaru21NufNNjfvMbPDiz6/Wf3QjX2UgQqQ5mmR1GzxENHuCgj0020
s0h5qDt/0VphyPo+WvslBeobiC1vfERs1X9wKdmKrjF/2Ng3uAcf+Sxhq+MnsoEH7CvMFhWbg9YR
6BHkUebOeuSz1H9kzRGIl8VSbxsobn4Bsz14zJ4mJFFp6U1QB/ENGI8Yk17eKXmsDJbV+sMmmYuQ
mcepvR65/MJHIOtKlYFSLwjad7XTyp6Z1O9SBOtWJ++ZAcrFWBpHZW3liyZShe5HuWkzBArSEC8D
x9rNjh3CrcvSZDE2aWW47KVyKU1VVC84qs3h0uNW8Lhmmb9NIXZDIzhPBNMrCc63gfztTfMqFmzw
dCCGGxWbQ36gi5F+AYsMSRh6ajG0m1wQy51eWMtZsM3mOCVrP4hbOvBciwfXnCptEU7OzSwn+kIu
pU/SMB9LcXvVREOySJqCThNOZRGrEUpqp0QI0BQnqMmk5ZAV56iJ+T9y03pzLecLLTCu4tkIaOKb
ZIF4M53dQh+tkxRS6yODTNavA80Ok2N76jq/d9ssrO7xCcXmvhtNuo5Uz0aAo2JWu00d9Um9jSVf
rt1iUEIMJ07p+YFtpG4wzINiua2Wx8VDAfz76NqU8h88uvWLtCrhMP1MtfC2xwdXsM0qvbtBDCQ5
B4JmeHxwyfu0FRPATLZ5FKFcXhDRdJSoiGxgIbgWuqPHB1f5R1dozW0QaxA9/vUrDy5apNctEkWA
kgLPAhViGQL6eFbijXTM/caIsk1adj0OndyIwtOyMJLgYxYn8badBqtay2aWXQ2MJevKKptVNXaK
cjqYNd6scDQGN+0KaVzHow7HKKX5OfzoelB4BsKxuNX7SH8/D23tZokZVQsJ8Y7kFob6oUq6C0sb
7s1A9fqA2z8JLsfWv6z7cT0r+eAGaaieI9sKNFcDZQ5c7Ke1vQ27yawUV2JawbmGhtzAYIvYs/Gz
JFqNSp6v8r7JL6OxsNd6ZuYnvZaHJ1FT18vU7/RV1oTkwrb+LgybeOFLSej2pr0x6v79kOuX8lAc
5XZ7OzaM73goUwtprBJYUFK2dJpW6bQfo3mNHbabmEOj4J3iZ6qrFZm5zqK0B4bpeqDwEd+Eliir
PA0rtB92a3tlZVz2cx9uUY72Dz3j38dQjFXffwwfI0u/sYDyvsfnEJGfqoMboPp4kPI9PYfaPyxZ
Os+BsIUf6NAnzpN1U6HNRJd+4EqfHkOVsF7WORubMkA0K+yvPIYEQn71HMrYB2WOhGWc9fxVqxVF
tlSiee43meyAIKAQa3qTZ6i4KMbhqEdBpqAkK5JMRjwh/JpGthzjVndHITyzUaDpWoLzEqasLrfp
EK9ClGqJHPeLDO2arg4ncehfhdlwweqJl9A+HXydJLoE68l8Khc8XGkmrdIqAFFv1lOobFu5BTZK
FrVmHVeq7uZ27oJYF64sde/TUFSLaadhx4iCcqfYyZGSmLtgLpZNXHuGj3LBTi6VWT8u5GEVKBXq
sHGFWWYLi7ye7fli1HgUo2CXml2wgvbZDo7p+b68DQZtA8+wS3sndFH/O4Xb0Yha3hAh/IYQTm+4
lvUHVL13amwuxiRYy0N/GUnKvh2wLkipMVwYhUzfkcmbaOr4GAW7oB72zUbOlfs2yd/a9vC+DxQv
0YvlPA+7KiluKt05Rd+GK0Qpzotqns5gQQcvkaly2PaA9Jy+dtVQjZaREtrBIo3sOTvuSz35UGA9
Qr2vOlVVn6E5LKpVCOnyMRfruT3bLO0oV5JFJNZ7S1Ov8mTIF6PoBTQ9T1wsR+dz10lLhHcnmk1t
i0QPMRy6CdFX2Bn4WN30V1apHM+0Hr0vaYuAZsQQXUk1xzQonVQDQsgH1VyPpq0SQroGRZ0zTP6u
FyI7qRJ6u5l/pJtiHwkpnpFle9ahu35CNuNUH9KhPdMj5IxFlt+XQda3C/wqaPsaK3SkpdI7aP5C
1H9pkTrFOhWSwNYpZWuBlNua3RzNoIF20LKyndTZH0KlxceHuLAe9TeJf2MJ0WEk5IdqLV9F6BGV
XGE1qY9Ii/J89IqBEC4OKBiTWn0DH/eBy7/rhcQxGat9hOax507HJAHNIDN9ClnkPFfcyig6UcRO
LX8c9JNFIe919JRqMu5n9JVTG5/F6C3DdLphTVEeZqa/RVhgTt8vwp8j776uweJtTzVY6OsdU9FF
7PULUR41GMEH3QzE1KEMP++FNCFHQQWtIQAAyHsqwkRLORYTB0pscEvEvb9UhA8k5espBsUJH0co
BGTYK5StS4qgjxKj31DtsmO/Va1dOav3RHm8pb+5bpLy0izr93o8Xuddvcq0apOG2bKagm3uKJcY
wzJvjvCb4qTGFLuPUTdlC1zIdr6Spvxumo3myJxzeeWEetW4Yx+q5rpQwxEPpo7mpds3Zq8lXqe1
AKJGVbTLXlG3VjheEqx06teTmP1VN88DWqZOUc2zypjDfeCP7SIVKupelqpFV6PLS4Y49GBBripN
vvERX4+NsYsTnFUSsux01j+EQqat1UvNStftFCGGHgP8ffKmEqJuxN1IJrwGsbeG6Hs0qmyvpTiq
E8pF0ZWqp0e2snCasjuJOmjFQK79+NpHR47fD0G5kJZPQmQ+Crl5QSzGxi/9ZmclTe7lgbVThTx9
FEL1UkjWa8R/173e1OjYR0SRraS1C03qtX0jBO95gRA8NY5xV+dn40FOOwllrULgySi0trlQ3dZC
f6sj8d52QpNbyXrS4g1kYIS36PbTQb4bkOmM8ekg61UntJeH/w4Pst9Yb33Zs6IpZLrkbbmsFeHS
MEqmT2w+TKKSzUw6ADSJIdUypptajK2FGGAVsEwlQ+ComdM+YcadtOJdJYZeWYy/vhiEOWDjdmI4
huOuvVgMzIOZqPa1Q+WeXPhH4zPY+rcoiYSR7xelLzsmfKMs8cbHskQqGUoCQb8/KIIpME8jmig8
GPNwcVBpRJLKs94QzwjIh4bw+ACgfBnR8H8IfR158IST/LIB5GCxelmWCMdTDUof1A9ToZjhns1o
RCMVTqNa1abNYVwTp0uIgWjVdd11742pcLNei3ddze0e5NWUog0d/IUVKtLSiDH0BX7u5qnxyez8
d/pstTwx6S4JWDejqPyAqKreSiZstoHhuNOnW7UuygtUwe1p38v+eyebo1Mj1fPKa6MQK7Rsn+lj
snNi47q358Sr+OZLKVcucKFd5374zhnnzrUiGSOu3F+qSbYKkiZzZx+qN7Mmf2H0GXbP6oNkG8ss
sYOjKZzivdIiNUWloNzmmBZd3aqu5Wa8SatsM+WMnhOi4bSXCm9sk4vJCYp1M5V4AG3tHC9M5WWF
tMfm8yE3IK+7OaU/KaBs4Xdxzw6tV03FeWRXmpdp+Ywho03XXWmcakN3E2rjmYZgaiHRJ5kOP6G7
cp04xLpCEhIwig1v6ijFYkCCtPBD+dyRpGPiHvbm5KdeIwWm7eYTGtvhwCjaTpoSxaTrLouFv5gE
9dhnMtEGRf1OErSkDD/JkLoO7PDOMYePHfxlEUnZBnWtjNwRctPRMx0ldVAI6U7ztoIDlfLqTVVh
w85hR5FkrRvY0rHRk0UnCNRSUKmqIFWDUVkbwdjtaireSPc81F4HC1vAxlqCloXKVN1pyPeNbr4N
/NpwI8l8I0KJSkHq0vBdB0zwjuWzJJhehvmTvlswwfZg0JlOxGf0ZRcslANnLNdltysbpzhRy946
q238dIHNfihuDHNcX8ajmpWXc1nY5ZVcGjORTrVEFIPRHtfhfGsXLUSgSXPnF01z45utjzN99Ll0
nZ25TdOSD5KHWe0szCyZm6UtkVVRpSPEYdzThheSelw1yjspiJIVT3vllVMTbYbEaZdpKxlbOYx8
fjdsTvww0Y5UEgG0IFdaBJ/jhNCgaKjhxdy/aacuPutyNXrnB7WeYia3WL3kqVnV0zzsp7Ai+kbJ
wk001pdYlVehXDSrSVXlXWqb1bFh+9LeUerirldxJOUDugtFZj3Pgrn2EiMZJXFT4NTh0rLkZIs5
nYPNIDXdYiYxZ1XWPlE5g1Fdqc5kOi5zYY1di+K1mNFRFBL9t2xFZ6zK5yQt+Eu9aFiVnCG9Lv36
Pijx+pj9fNwF7bgJlUH0xtED7/l3QRF5dd9fUE5exuA+IX7ibY/LCYgfmwWYzKNkkj/Aek/LCRsF
yM+k18+XE9peG5AQvgd8z4GLeUL8wCYYexApPyAUv9TlviR1DqQoyY2qjHSXWwYc8eVqkmdaXQGC
V5tiUsutafTRx6CagQqyXRX11ipDKjGl1cWMwdu1FOlDH6nBuiPlYVUgIfMi038bBsPxREAI4o1I
NYuHEeq7AmP1azAEJh3zJKgoyORXCXB21GXU76bYRF0VF4uqNfBJJKcWSUXdVC+DyN6TvAf2IYLN
hnGTFcNblYCQRW6mHwur0ch8UPxFFpiZ18yM53nix2Agbe/Gcxwxsw+VS7jRUexEwoRinuqdli6q
9JbsGnWJI7i6K4NGPXl2r3xDOM3S8BXK44gwc3IzUfzBuby69iYWOX82kBbirxHedDxi7ixbTPpt
mePlIGIJjBSbbTvPu6IojbdKV9SeHSfDsk6Camn4FkKvssS47qwmpwqPiskHnIm2uhFs07KltsjR
qerLq5RJgIQccIshnm230TVSplrULk0/mIusJvMojNr5qi4xfAxynKz6NpK9WZfADKRqWNh6eheG
dbOY8EW7cTdGKKgY2EfVqVdRml9ORa+u0iAeVqhqTpOA5iCNppvett7IVS97SUSoBKEd0Uazxtqd
tJCwLeU4cMjfMLtQhhOayPWR5hN8cZ8mQwgGE9s4bm0HIjcciqWj4gyplHjc98QbuaWkKW7RF9n5
0CubUus/yLK1zx3nI/DdtTa1kxsH1rKmtXDIN8hFr0GGVO2Gov/ISqYwGhL70JmIHiWuk3cJTUtQ
KBcwS7g4RT9TGuq1QYNTyCYuVE4KyCSriOSiD+pER0TYXHuqiS6JlfY2Jk5k4dNAEaZQbacOoZzo
rUo/3hmi25oC+11cq58a0YfpNGSaBsQTVLVP7olOYEgrOjff6eIdYSBuQ1Onj5m6bjQyl0A0x+U0
dNqxnE3yrVmpZ45vn00EMS4UlT8LT3ji5s2kz55aayWtHAlBa47ZLA8379+K79BOf7/iP+ZAf2OC
4H1PJV8jvEQmJAGJkfYC2GC4sGVkAQ/4sfDaPA0QkC4EJQtcWmAezBZPFd8QPkMR6SlgDcQNv0DO
shS9VsFA79BqUU5NMrhfUTwo1+Z4rlHBUDdcpQ/dJLl9dkm+VdgMAU8/jShCogCww4LH4sZJ4VV/
uaiMGQhGkPTppvRPB865ck25cTQ3TpLJWFWY14h3aRFI+BjaYuqVZ031sBixuxFVJnuDqdLlCS/c
OKorX7jjpKLs70elpnvVywRJXuQDuuZFY65iRmz8delY2adKqY3XkjV0l45ZZzFKS9UnADWc72ir
mk+a3gYmNphcXWpKflSM8dZy6hzR4USmYDR75JavrDj3eLzOuwwYohzTXaUVK7WbF2UqfbAyY19H
yrSCR27d1E7iRYIh2Qr6+Sif+RqlpiwqnG5TmxwbMy17M0hnXYgVTlYTB881A0CREGthxfHHrOvC
RSZPb8F+NwPrV4IjxZVCe+/T1WLO3+dTdFqy4lHNItY+sQzNYkEyh0FdmvOtIZaqMbJPcwe7khNN
R0YCLutE4J19IgWun1RvyqI8jSr7eJ7U01T5qCjFdS2Licjuj3M5Sy4SK4/fEj9aw06ru9BgISpH
u3RjexiWhVrdFF1wM3YJ6QBjjle8LxaRXEjbpgpzr59VYGexeGT2UB/VYkEhFw2oSywyZGXZLtMF
amWxBHVjl7pGyTw14EAtxVKl28ejWLug51YI9Ja6WNVwq9l7bYCCL1AzvLUMa5x3bRHHrIcH1k89
MIDwNbCBMHbq+SQoQvI412lmX7I8XlpMcAbAmAmnCMpykcMx+ge2MTNCmMc8rzjfRNbeR4KY5Iai
Y/AJejOz8zxziBFrx2BaOwdOs8BBuykPTGcpSM9e0J/8ZnbVHDjRHz9C1IFXDxAUEup8RBmE66kq
xeD5jD9Koyw1cl4QpLBO9VtylUnek37SWL2sBAchkYBSic0AaIUIE1/iGZBQJkDoTawUm3GevUhn
/ELC8OPzEN/zZSHgPJ4d4tV5kGADjGDKxSbUsIOVEUbTa5Ki1znky4+P9K2TwcBNXjQaFtE4vzyZ
gRsuLWcCU9suQrOtT6ObIXb48UEO1/31+Whs40ZNBxh+6OieXTKt7hzM1vxd9s3yfbjQVpY7LOeV
vki9cFUrS2uJ+395q7rZqj2W3XyRr4NT++RnHoSDEeT193h+tq8ENgRJxuPoc7bTWj+fV921hhJv
dKezo/y6PKlW3eYnJ/6yVX24V54f8FVFJ9vGTiyLA85vpnO1dq3T4lZyrZV0kX6oYjfYgqh+0vfW
dum74T78pdShh6NjjmdMYUFFBfGKDpXqJFOxsZOGG8AAVloUuV399sen+K1H7vkxXjXjFi7msO04
hjEniRujpxvSjArYdz+5ib71TDw7kGBEnj92itaNho3QaaOZxELKyZ7/9GqZlai314dz+tulCVHl
97u0V1tZPJvLedtTk4bBHjRWNfA/IYrjfniay0X2E05gAxpFOOWed2nCeMrAhoTH4Df40WOXJiQF
Qp3zNOj/Qpf2jZgfES5hgBrj0QOKfvWEa2qayQ2r4QaZlmuMFbBNpJ9JarNMMPLWSunair9m14V9
NOuLLhvcSa1/cqeqljjKqzoDC4cBALcy8PVrJ3GrFlMxIbLb2AMAZGlvkR7A0Yc0Im+BDuMoBvXb
Mp1v0zQ5qlC8HM9icIOV+RRaysnk9AuVMgyajKGlXPfS+9qobprEp0Q7AalDyrE8IicuU1Sk56X0
HvQ9cRuj32Fy+mhWBC6MPaBtDOd+igrBs3pjMYkAhM5TMmvZsEujRyLNiZ6c6E7pjtp8Ghja0leH
N2oTLPGtINaZzybDX0lMRaHt38xiUI2ZWNsiQb0khti8QRsABBC4TtM3C7st7syux8Ylxt9ODMK9
GIntJsu9Kh6lLYrAYBHoa18rL9VivOj76GwO30stnVCsLZ2MJtDOl1NpAXtPfeiRQRq4nW1sA7Ku
mcrtG992XGDGSzTpbmD6V1XbXGVh4sotyG2W3CHkO2UsXYd9vhbew9w2vM5/G5PxRkaTtCP0Z2dK
8aeSOZMvtsWYcuqnb+3gU6fP8VLqcxIZhPekFC6UMoxkVt+uW/mNLFI9uOKdHEQra85IZxpOFFPC
KzUQ64NiatNa/nE56Gu1brjWskfyzV0qpWeBM24GvdiNUUh+0nSs9TvfMFyJSCDS59AjSDVwwdsx
zxdzvBuJ32j0dB8Pw0YJ6sIFPL0zGwkwRoDjftz2571eN25MXMe6GjHQ9YDowfDWLGMvrz/lc7RV
wCx8rGlEb2qEB81Lm7woNxIY/JDCkJnGpdSelFG9LvrxFgkmGAIJnjKWxkGbCLO1rlQB5geg+r2T
r7NaWvm1Roy3thvG4Q5B2ie1C+Z1lnGARMuOayP9NJrVJcEdoAbdJsc0r9v1fo4NL6mcC+g5z8/z
G9mct7U5blOohkCeAAWs4ogodVfFB8/wcML0ThJJ6hwVKZBzE3oTGX0BRylrs/Am2Vn10Rtw9XFl
19WilJLNDMWhp+31kA37NCzOFZu8YYlHLCGOSEbaHQ7rSiQOc9gMJUpmEjFlQvAQPOx79WwuO4HP
ZRG+s0E+zgOgLSrariX1JAXK43m4qAcM2fV0VWAGG8J2RcAlN7rphuB+eRKum35J1GezrE0jWstT
ufR5LgKpxwrWpJeN1khbMyzjvapNwZE9mEw4834YszWc7rUlB/dgWPshlFw5Gd8Usbwp63GhVPJK
iz71kFc78igVOBgB4Qgwxxawzt+F7yHhDvz2+wvfl/1svoFP8MbHpQ/NKMkGQqX2YtlDw6aQA2qa
xICClNksBk/gBL5+wTciuxApSTRHT8uemFPMZ0j1Lyx76tcRl8jaNVCTw3YE2CdeTQx4UKNGA6DY
1HlqxktD6driUlJjpXJjczDAtWz4JlWAXbOAvQzfP7PAwWwjUG6nWdeOlRT9Ty/YjlTwHiEECI3c
feDDiOhtGbiJE8GSQJeQandWCv4kl1pgXhiV6kCusMOD5UA9ZfVVIdiXSfAwRYvNoifNd1MKlmYS
vE0vt65cWfyTbNLaUwWvUxe6sh8E14OuL79TBkXal2QdH8+CE2JqblZG2q9i6CJH8EazYJAkzR72
Q2Y0K0nwS1kL2ur2gnUqJyM+G1qpfwMo20qI4uGnEJurqMQgrSTBXiXQWNgQIbTGQDO2WIVaVCjw
XV1PUYplK15N/vSuyJTjSLBj9YEos/UClo/tDiCRDlRae6DVRsGwUV4g2zI/81d+bjY3gQUX5whW
roGeK8PmmBAqQdgJ7i5uJKN/QzRq29yFilDBqboVLVMhjZvabl7GMiVcD/3By4WELmDfBRRiymIy
rdNJSW8g0naJJlxsqO+a7j1pxm/Rf93rdd5sVCHUmxTBeZkTDn9wZ1/I+Toh7DMrea+g9Gsdn2Ru
k10njDt6qvpDgiawP6gDwdFly1MPqsGQKHk3KeUdMhKCXubtiMKQbYa2Y18Eq1RoD0dt1RvjhYIm
kRSOrYFWUZ/BJLp+NZoqdF5yiY8V6Lv2giln0wpzV+Z4DNA8WknvaWggM7SQM5pIKVZh41FJRixF
FarJTCRooaKcpnlroaocFedDgspyPsgto+m0Qn85osPEJX7aoctM4+6CwETagh6KVOpJuFUXZel/
AmCOEOoY17MIK0xsNNmH+MJaXbNvRnmVEEkOYdx5syyRdqjk5T4k/zCeq0+NLV+NmXEjWdyifgOn
XY5yiPU3ID6RHEV2UyDBnWTFVkQsKu1wPM+ImXtWcz+fqyWaRrSPzXAxI0FidbwkGXmrHcRJrdAp
2Rn8s8cTk3f7vA0HHcGPNMmNK09Os/pb5g9lXjh6v1/mvS65b74u8eJNjyVeZpssXWODIVJ6MeSK
8eJpupGhFg0KrG5+Tm56LPMKQVCYY9G3UIWJ1HhW5omCIoHJtLAHEP9Ogf4VDPow4z7NFbCODFAY
hJjkyUwFKn9V5e2xtCsJb/HG0uVsPtGCyX8XtF3HnkQhxkJJPvIzRhpzGPVFLIfWolfH27pA8mvn
NcbsNEEDPEga6B5Pexmsi8hZV04Z3MZ4+ceInQvUzla8Ska4LGm+ssxx2rRuNsGtx5JjLZyYwLKy
7LHpRVHrZYmTnVQil8wRCWW+PoPgpoW8489FuoJIMpPtmsaqCJOdWjrmOX1esLSyuFoTo6GcxCIP
rRXJaLXISMMaQFpaR25aIRLUiIEb37AvF6lqIl/NOCSticy1UKWwaYcgtv4Qykb4pczeM4esNpHa
piJhWDkEubUi0S0/hLvpoSJqRBwFH/XSCcLTMAcGdvXIrLZBXJUemRJExlcGuyukdnlmU0g3bePL
qF0/jnMYe0RgDzS/hcY6kdXbCkXOuV2V83nZDhbzlNK4g5UjAWSDhWOy8LULc56608gOb8PB6rfI
NZwjLfCbn+CFytcDJyp6DWBNhNOwXeArcGTSRzbcYkMxgM9hywTOH6/9NEpSvzCi4I2fx5QTU0uX
yjB5Uduh3qkle/u3qjw0j3A9368qJ7d5290l9+3XlUWQRJ8ri9jRjyaR/lAlFoA/kf5UWeR/kM0h
SMM3wdPNpP7UQGJuIgjGBGlGt/vQdj42kFQWUQeAoNkqkNCgX2K3lEMi/8vSQvqcw87QKvurCQDn
JbyWBpqQ0SbhhsDN3DVio/eStmU1HwBSRnpLmGxt24U547gZ+a5T94tg9I+piVdqA+2tsBPEkBe7
EAHGkdH3H0t+FxojGJbmpEZsyhNjf1cni9hZu1FWRgabnEQt4S6peV6SwhAm9l6Z7LWRmpY75srO
UrO7fmzv5ayaaR2sm5KHtDDztxD4121Uz0eyTTqwFFrRovLbzLMCoz4ebPa5aebhbUE+/2ouc3Rs
7Rucju/ksdddSwThBaQ3kjwSiz1rguUYsr9F1quAJsQnaiJIMRWRinZAckkpYhYjv/no1zaBmPP4
Ps+sbG0qjeL2Ck0fndvoGqIaVqIu+qJCaqmBYneSt2ViDsuO5NB3bDDY01TqyrKM+b6pg2vBoI9Y
EpsmlAVV503OvEMDt51zsCqLa1ZW7SIo389RIibZDf4az25RKaKJ7Tp9UVnKsmtpuW1vSFBlGCQY
A+vI4TpRCfSQk3RRwBLVbSJdyq123wfFSZDmGEY1CRwlwq9wj79q1ZuOh2Zb8krrOp7ZvsI2TlNH
3apN/l5O9SN9qNdlpuw1XdpKTn3TSOVZoCLt5dbsYN6VK3ke1iShnPcU2nVNnPXRBMNYpFW9LIqs
ZRcEP1oarb6y0y4kfNPA3orxYKUajeq1ps2+AmN+PwAsrf9/KUqf0eZX+4g+hLZ/2WxT/PSwy+Yl
ES4tN/v39in93i89Do3f/qBfS4F/3Twdjnn4Qj/8nPSWL959vD9sQPrL+9lSWJ9dqX93mg8X9X/x
Unxllfs3lwLrA8HJUGqHF51kWuTQuYcrJRGXLzzeGDhoKMXrYY35P74Uz5ewb+1l+59cBs7z+Q2B
L15DyAcyIl70LS+ugsJVQMynfW7c/49Pn7/R/eEpfKI+vvIu/yeXQPytn64B9hpCYqHfsDWL1+s7
AW0La7xY+h/uBJb/P+yhgEn/Kkr831wHuhioH+77w4s7/sW9QBvEVIMRQKg0eT2Uoz/wloDyetEO
/vqlIOqXs8QP83Cm4uK+uBQaAcKqzZ7H6JYOrz/ulvhs0adL/P1LwTbWYvOqV9dAFlkdBo8GVh3x
erjqf97tIIb0374GQs8qSMsvf+4Xt4P6D3yqxdbisKR/9KWgvP/2pQB+Q6zFXuUPr1d3BZeCGYU8
lj+2WD48GV9Zqv5NkUBtSDrT45myLry4K5gNcXsiZkeJJF5/ar38ygzwby6FSlityfrx8AB83UYo
pIITT/e5VoCLcR/+gbXi95cOugkDUT8j+pe/+ou7Qv4HkSqFAkTy8Hp4JP/AS/HwN3qwM3yZXn5x
2tAM6oRIv3t4ffWAAGOYiFU+//gXVpD/4Hp9meEWYZR+PExv0X3zrfnte7/wOLB8/fNnbehDG/7i
Vy+n8v7h6A/dqvjv/7n9mEU5OwyyL+pdqx7u/Wc/fXwWDof6/P7P5/j10V8c7PHEHv/nJrqvb+u7
UGzZzLz6+ZuKDc/++79+vKPM4ffFsf/7v15+2WeLxg8//Z7wgTCq77/RpfOnfTrbf/v5Pwwi+t1v
/yPy4Xc/+0d7VfzuZ/8kF+Z3P/7HiQf/G5/+nVtGJHL+9i3zM2v0737/n2HLv/35P3Ti/e6n/8T1
8bsf/2O54u9++s80IT/+/G/V1i8NydcV9xHA+tbbXq4o4jfu0vvb+n/+HwAAAP//</cx:binary>
              </cx:geoCache>
            </cx:geography>
          </cx:layoutPr>
          <cx:valueColors>
            <cx:minColor>
              <a:srgbClr val="2166AC"/>
            </cx:minColor>
            <cx:midColor>
              <a:srgbClr val="F7F7F7"/>
            </cx:midColor>
            <cx:maxColor>
              <a:srgbClr val="B2182B"/>
            </cx:maxColor>
          </cx:valueColors>
          <cx:valueColorPositions count="3"/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size">
        <cx:f>_xlchart.v1.9</cx:f>
      </cx:numDim>
    </cx:data>
  </cx:chartData>
  <cx:chart>
    <cx:title pos="t" align="ctr" overlay="0">
      <cx:tx>
        <cx:txData>
          <cx:v>Massachusetts: County by Relative Population Size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Massachusetts: County by Relative Population Size</a:t>
          </a:r>
        </a:p>
      </cx:txPr>
    </cx:title>
    <cx:plotArea>
      <cx:plotAreaRegion>
        <cx:series layoutId="treemap" uniqueId="{7FD0D53A-D57B-4177-A636-5F6B6EC82B6F}">
          <cx:tx>
            <cx:txData>
              <cx:f>_xlchart.v1.8</cx:f>
              <cx:v>Population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1009648</xdr:colOff>
      <xdr:row>134</xdr:row>
      <xdr:rowOff>104775</xdr:rowOff>
    </xdr:from>
    <xdr:to>
      <xdr:col>6</xdr:col>
      <xdr:colOff>706694</xdr:colOff>
      <xdr:row>160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6FC2B4-C26E-BCF0-9A4C-F3B5239CA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14260</xdr:colOff>
      <xdr:row>134</xdr:row>
      <xdr:rowOff>21982</xdr:rowOff>
    </xdr:from>
    <xdr:to>
      <xdr:col>10</xdr:col>
      <xdr:colOff>2242038</xdr:colOff>
      <xdr:row>157</xdr:row>
      <xdr:rowOff>62793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04B75E1F-F846-1F2A-85D3-FF5DD53CC1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33952" y="17533328"/>
              <a:ext cx="5583509" cy="37482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1299796</xdr:colOff>
      <xdr:row>135</xdr:row>
      <xdr:rowOff>134082</xdr:rowOff>
    </xdr:from>
    <xdr:to>
      <xdr:col>16</xdr:col>
      <xdr:colOff>45427</xdr:colOff>
      <xdr:row>154</xdr:row>
      <xdr:rowOff>14654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1720CE58-E614-D611-6621-0314328A7A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30446" y="18479232"/>
              <a:ext cx="4689231" cy="31381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grtw" refreshedDate="45935.622012384258" createdVersion="8" refreshedVersion="8" minRefreshableVersion="3" recordCount="112" xr:uid="{9C236E6F-33EC-4A7C-AE35-2C3A9A9CA1DB}">
  <cacheSource type="worksheet">
    <worksheetSource name="Table1"/>
  </cacheSource>
  <cacheFields count="10">
    <cacheField name="Geo Description" numFmtId="0">
      <sharedItems count="14">
        <s v="Barnstable"/>
        <s v="Berkshire"/>
        <s v="Bristol"/>
        <s v="Dukes"/>
        <s v="Essex"/>
        <s v="Franklin"/>
        <s v="Hampden"/>
        <s v="Hampshire"/>
        <s v="Middlesex"/>
        <s v="Nantucket"/>
        <s v="Norfolk"/>
        <s v="Plymouth"/>
        <s v="Suffolk"/>
        <s v="Worcester"/>
      </sharedItems>
    </cacheField>
    <cacheField name="Year" numFmtId="0">
      <sharedItems/>
    </cacheField>
    <cacheField name="Age Group" numFmtId="0">
      <sharedItems/>
    </cacheField>
    <cacheField name="Case Count" numFmtId="0">
      <sharedItems containsMixedTypes="1" containsNumber="1" containsInteger="1" minValue="0" maxValue="1336"/>
    </cacheField>
    <cacheField name="Crude Rate" numFmtId="0">
      <sharedItems containsMixedTypes="1" containsNumber="1" minValue="0" maxValue="17.082433777401"/>
    </cacheField>
    <cacheField name="Census Population" numFmtId="3">
      <sharedItems containsSemiMixedTypes="0" containsString="0" containsNumber="1" minValue="10779.820145293599" maxValue="1632001.99703502"/>
    </cacheField>
    <cacheField name="Age Adjusted Rate" numFmtId="0">
      <sharedItems containsMixedTypes="1" containsNumber="1" minValue="0" maxValue="19.759423645121" count="98">
        <n v="6.1851817044919999"/>
        <n v="5.6125244388670001"/>
        <n v="4.5344753979750001"/>
        <n v="4.3080996641420004"/>
        <n v="3.8349233946169998"/>
        <n v="3.6988936216339998"/>
        <n v="1.1011486682830001"/>
        <n v="2.6974051658180001"/>
        <n v="6.56173797795"/>
        <n v="6.6580624639229997"/>
        <n v="4.3053840006049997"/>
        <n v="3.1868675605329999"/>
        <n v="2.8622943780560002"/>
        <n v="3.3557954839340001"/>
        <n v="0.83745220000599996"/>
        <n v="2.2683226927910001"/>
        <n v="14.483435688027001"/>
        <n v="12.166274384607"/>
        <n v="9.0721754843760003"/>
        <n v="9.5640971187940007"/>
        <n v="9.0968989794940001"/>
        <n v="8.7381067134069994"/>
        <n v="4.5829744381489999"/>
        <n v="4.6023787074670004"/>
        <s v="NS"/>
        <n v="0"/>
        <n v="15.296059452754999"/>
        <n v="13.157291969856001"/>
        <n v="10.195242805584"/>
        <n v="8.8502692204609996"/>
        <n v="8.8768714838180003"/>
        <n v="8.0096023843140003"/>
        <n v="4.4263929036440004"/>
        <n v="5.0986771229650003"/>
        <n v="9.1178568964930005"/>
        <n v="9.5450966724450002"/>
        <n v="7.6639599533789999"/>
        <n v="5.9219336846969997"/>
        <n v="8.8986492379259996"/>
        <n v="7.3089487817299998"/>
        <n v="4.2239582785709997"/>
        <n v="3.8348327427540001"/>
        <n v="16.572674446981999"/>
        <n v="16.630202810751999"/>
        <n v="11.708572383489001"/>
        <n v="13.099601341570001"/>
        <n v="13.807695277740001"/>
        <n v="10.412672804688"/>
        <n v="3.9933491399849999"/>
        <n v="5.8808334943289999"/>
        <n v="7.2894848740520004"/>
        <n v="6.6638752789830002"/>
        <n v="4.2508314595709997"/>
        <n v="4.8014320456749999"/>
        <n v="6.3088097615240004"/>
        <n v="5.3131759431479999"/>
        <n v="3.1852919750240001"/>
        <n v="2.8689660392860001"/>
        <n v="8.6074753009269998"/>
        <n v="7.2095256002920003"/>
        <n v="5.8431891443620003"/>
        <n v="5.8610024735520003"/>
        <n v="5.2813187351500002"/>
        <n v="5.2002381959630002"/>
        <n v="2.653651972269"/>
        <n v="3.5491601665200001"/>
        <n v="8.7417075593539995"/>
        <n v="7.7913745725699997"/>
        <n v="5.506818149631"/>
        <n v="5.5274817514930001"/>
        <n v="5.8343068883390004"/>
        <n v="5.8055483131149996"/>
        <n v="2.3375792679680001"/>
        <n v="3.5090826571070002"/>
        <n v="11.738193174139999"/>
        <n v="10.928602527394"/>
        <n v="8.085427246419"/>
        <n v="8.3515723163879994"/>
        <n v="7.7609769400499999"/>
        <n v="7.5053018649889998"/>
        <n v="4.6354033618840003"/>
        <n v="5.4580642960979997"/>
        <n v="19.759423645121"/>
        <n v="17.448715968407999"/>
        <n v="12.607233552446001"/>
        <n v="11.826535314661999"/>
        <n v="11.219432007062"/>
        <n v="9.7294802668480003"/>
        <n v="5.2466883418689996"/>
        <n v="8.1911954561330003"/>
        <n v="12.172833014596"/>
        <n v="11.219596935327001"/>
        <n v="7.1860648881970004"/>
        <n v="8.5895679647259993"/>
        <n v="7.0799826312369998"/>
        <n v="7.8562107929589997"/>
        <n v="3.8832407557709998"/>
        <n v="4.487455536053"/>
      </sharedItems>
    </cacheField>
    <cacheField name="Confidence Intervals" numFmtId="0">
      <sharedItems/>
    </cacheField>
    <cacheField name="Lower Range CI" numFmtId="0">
      <sharedItems containsMixedTypes="1" containsNumber="1" minValue="0" maxValue="18.7"/>
    </cacheField>
    <cacheField name="Higher Range CI" numFmtId="0">
      <sharedItems containsString="0" containsBlank="1" containsNumber="1" minValue="1.3" maxValue="20.8"/>
    </cacheField>
  </cacheFields>
  <extLst>
    <ext xmlns:x14="http://schemas.microsoft.com/office/spreadsheetml/2009/9/main" uri="{725AE2AE-9491-48be-B2B4-4EB974FC3084}">
      <x14:pivotCacheDefinition pivotCacheId="21337246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grtw" refreshedDate="45935.653328472225" createdVersion="8" refreshedVersion="8" minRefreshableVersion="3" recordCount="112" xr:uid="{FE100152-734E-48AF-8904-A1BB98AC916C}">
  <cacheSource type="worksheet">
    <worksheetSource name="Table1[[Geo Description]:[Z-Score Calculation]]"/>
  </cacheSource>
  <cacheFields count="12">
    <cacheField name="Geo Description" numFmtId="0">
      <sharedItems count="14">
        <s v="Barnstable"/>
        <s v="Berkshire"/>
        <s v="Bristol"/>
        <s v="Dukes"/>
        <s v="Essex"/>
        <s v="Franklin"/>
        <s v="Hampden"/>
        <s v="Hampshire"/>
        <s v="Middlesex"/>
        <s v="Nantucket"/>
        <s v="Norfolk"/>
        <s v="Plymouth"/>
        <s v="Suffolk"/>
        <s v="Worcester"/>
      </sharedItems>
    </cacheField>
    <cacheField name="Year" numFmtId="0">
      <sharedItems/>
    </cacheField>
    <cacheField name="Age Group" numFmtId="0">
      <sharedItems/>
    </cacheField>
    <cacheField name="Case Count" numFmtId="0">
      <sharedItems containsMixedTypes="1" containsNumber="1" containsInteger="1" minValue="0" maxValue="1336"/>
    </cacheField>
    <cacheField name="Crude Rate" numFmtId="0">
      <sharedItems containsMixedTypes="1" containsNumber="1" minValue="0" maxValue="17.082433777401"/>
    </cacheField>
    <cacheField name="Census Population" numFmtId="3">
      <sharedItems containsSemiMixedTypes="0" containsString="0" containsNumber="1" minValue="10779.820145293599" maxValue="1632001.99703502"/>
    </cacheField>
    <cacheField name="Age Adjusted Rate" numFmtId="0">
      <sharedItems containsMixedTypes="1" containsNumber="1" minValue="0" maxValue="19.759423645121"/>
    </cacheField>
    <cacheField name="Confidence Intervals" numFmtId="0">
      <sharedItems/>
    </cacheField>
    <cacheField name="Lower Range CI" numFmtId="0">
      <sharedItems containsMixedTypes="1" containsNumber="1" minValue="0" maxValue="18.7"/>
    </cacheField>
    <cacheField name="Higher Range CI" numFmtId="0">
      <sharedItems containsString="0" containsBlank="1" containsNumber="1" minValue="1.3" maxValue="20.8"/>
    </cacheField>
    <cacheField name="Statistical Difference" numFmtId="0">
      <sharedItems count="4">
        <s v="Statistically significantly lower        "/>
        <s v="Statistically significantly higher       "/>
        <s v="Not statistically significantly different"/>
        <s v="NS                                       "/>
      </sharedItems>
    </cacheField>
    <cacheField name="Z-Score" numFmtId="0">
      <sharedItems containsMixedTypes="1" containsNumber="1" minValue="-0.16939320725782556" maxValue="0.287310452464141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s v="2014"/>
    <s v="Total"/>
    <n v="142"/>
    <n v="6.5766068124129999"/>
    <n v="215916.81554077001"/>
    <x v="0"/>
    <s v="5.2 - 7.2"/>
    <n v="5.2"/>
    <n v="7.2"/>
  </r>
  <r>
    <x v="0"/>
    <s v="2015"/>
    <s v="Total"/>
    <n v="138"/>
    <n v="6.393818845927"/>
    <n v="215833.45309806199"/>
    <x v="1"/>
    <s v="4.7 - 6.5"/>
    <n v="4.7"/>
    <n v="6.5"/>
  </r>
  <r>
    <x v="0"/>
    <s v="2016"/>
    <s v="Total"/>
    <n v="83"/>
    <n v="3.8442478458129998"/>
    <n v="215906.994889505"/>
    <x v="2"/>
    <s v="3.6 - 5.5"/>
    <n v="3.6"/>
    <n v="5.5"/>
  </r>
  <r>
    <x v="0"/>
    <s v="2017"/>
    <s v="Total"/>
    <n v="72"/>
    <n v="3.3264774671240001"/>
    <n v="216445.17574994199"/>
    <x v="3"/>
    <s v="3.3 - 5.3"/>
    <n v="3.3"/>
    <n v="5.3"/>
  </r>
  <r>
    <x v="0"/>
    <s v="2018"/>
    <s v="Total"/>
    <n v="73"/>
    <n v="3.3633989076469999"/>
    <n v="217042.34913678101"/>
    <x v="4"/>
    <s v="3.0 - 4.7"/>
    <n v="3"/>
    <n v="4.7"/>
  </r>
  <r>
    <x v="0"/>
    <s v="2019"/>
    <s v="Total"/>
    <n v="71"/>
    <n v="3.2785058957939999"/>
    <n v="216562.062892991"/>
    <x v="5"/>
    <s v="2.8 - 4.6"/>
    <n v="2.8"/>
    <n v="4.5999999999999996"/>
  </r>
  <r>
    <x v="0"/>
    <s v="2020"/>
    <s v="Total"/>
    <n v="24"/>
    <n v="1.0480532418549999"/>
    <n v="228995.99983596799"/>
    <x v="6"/>
    <s v="0.7 - 1.5"/>
    <n v="0.7"/>
    <n v="1.5"/>
  </r>
  <r>
    <x v="0"/>
    <s v="2021"/>
    <s v="Total"/>
    <n v="44"/>
    <n v="1.921430943401"/>
    <n v="228995.99983596799"/>
    <x v="7"/>
    <s v="1.9 - 3.5"/>
    <n v="1.9"/>
    <n v="3.5"/>
  </r>
  <r>
    <x v="1"/>
    <s v="2014"/>
    <s v="Total"/>
    <n v="93"/>
    <n v="7.1920860474030004"/>
    <n v="129308.797735507"/>
    <x v="8"/>
    <s v="5.2 - 7.9"/>
    <n v="5.2"/>
    <n v="7.9"/>
  </r>
  <r>
    <x v="1"/>
    <s v="2015"/>
    <s v="Total"/>
    <n v="94"/>
    <n v="7.3181990814329998"/>
    <n v="128446.901968658"/>
    <x v="9"/>
    <s v="5.3 - 8.0"/>
    <n v="5.3"/>
    <n v="8"/>
  </r>
  <r>
    <x v="1"/>
    <s v="2016"/>
    <s v="Total"/>
    <n v="42"/>
    <n v="3.2788586626599998"/>
    <n v="128093.352965438"/>
    <x v="10"/>
    <s v="3.0 - 5.6"/>
    <n v="3"/>
    <n v="5.6"/>
  </r>
  <r>
    <x v="1"/>
    <s v="2017"/>
    <s v="Total"/>
    <n v="33"/>
    <n v="2.5882110512569998"/>
    <n v="127501.194247551"/>
    <x v="11"/>
    <s v="2.1 - 4.3"/>
    <n v="2.1"/>
    <n v="4.3"/>
  </r>
  <r>
    <x v="1"/>
    <s v="2018"/>
    <s v="Total"/>
    <n v="29"/>
    <n v="2.275350676685"/>
    <n v="127452.881426812"/>
    <x v="12"/>
    <s v="1.8 - 3.9"/>
    <n v="1.8"/>
    <n v="3.9"/>
  </r>
  <r>
    <x v="1"/>
    <s v="2019"/>
    <s v="Total"/>
    <n v="37"/>
    <n v="2.9208692403900001"/>
    <n v="126674.61962470099"/>
    <x v="13"/>
    <s v="2.3 - 4.4"/>
    <n v="2.2999999999999998"/>
    <n v="4.4000000000000004"/>
  </r>
  <r>
    <x v="1"/>
    <s v="2020"/>
    <s v="Total"/>
    <n v="11"/>
    <n v="0.85254134821299998"/>
    <n v="129026.000006288"/>
    <x v="14"/>
    <s v="0.3 - 1.3"/>
    <n v="0.3"/>
    <n v="1.3"/>
  </r>
  <r>
    <x v="1"/>
    <s v="2021"/>
    <s v="Total"/>
    <n v="25"/>
    <n v="1.9375939732130001"/>
    <n v="129026.000006288"/>
    <x v="15"/>
    <s v="1.4 - 3.2"/>
    <n v="1.4"/>
    <n v="3.2"/>
  </r>
  <r>
    <x v="2"/>
    <s v="2014"/>
    <s v="Total"/>
    <n v="833"/>
    <n v="14.922520826477999"/>
    <n v="558216.67778941197"/>
    <x v="16"/>
    <s v="13.5 - 15.5"/>
    <n v="13.5"/>
    <n v="15.5"/>
  </r>
  <r>
    <x v="2"/>
    <s v="2015"/>
    <s v="Total"/>
    <n v="709"/>
    <n v="12.643998443406"/>
    <n v="560740.34109814698"/>
    <x v="17"/>
    <s v="11.3 - 13.1"/>
    <n v="11.3"/>
    <n v="13.1"/>
  </r>
  <r>
    <x v="2"/>
    <s v="2016"/>
    <s v="Total"/>
    <n v="488"/>
    <n v="8.6828345257309998"/>
    <n v="562028.44653300196"/>
    <x v="18"/>
    <s v="8.3 - 9.9"/>
    <n v="8.3000000000000007"/>
    <n v="9.9"/>
  </r>
  <r>
    <x v="2"/>
    <s v="2017"/>
    <s v="Total"/>
    <n v="516"/>
    <n v="9.1201749990989995"/>
    <n v="565778.61724247504"/>
    <x v="19"/>
    <s v="8.7 - 10.4"/>
    <n v="8.6999999999999993"/>
    <n v="10.4"/>
  </r>
  <r>
    <x v="2"/>
    <s v="2018"/>
    <s v="Total"/>
    <n v="503"/>
    <n v="8.8196890637729997"/>
    <n v="570314.890199502"/>
    <x v="20"/>
    <s v="8.3 - 9.9"/>
    <n v="8.3000000000000007"/>
    <n v="9.9"/>
  </r>
  <r>
    <x v="2"/>
    <s v="2019"/>
    <s v="Total"/>
    <n v="496"/>
    <n v="8.6828043232019994"/>
    <n v="571244.01464926102"/>
    <x v="21"/>
    <s v="8.0 - 9.5"/>
    <n v="8"/>
    <n v="9.5"/>
  </r>
  <r>
    <x v="2"/>
    <s v="2020"/>
    <s v="Total"/>
    <n v="264"/>
    <n v="4.558011049858"/>
    <n v="579199.99998283305"/>
    <x v="22"/>
    <s v="4.0 - 5.1"/>
    <n v="4"/>
    <n v="5.0999999999999996"/>
  </r>
  <r>
    <x v="2"/>
    <s v="2021"/>
    <s v="Total"/>
    <n v="259"/>
    <n v="4.4716850830050001"/>
    <n v="579199.99998283305"/>
    <x v="23"/>
    <s v="4.0 - 5.2"/>
    <n v="4"/>
    <n v="5.2"/>
  </r>
  <r>
    <x v="3"/>
    <s v="2014"/>
    <s v="Total"/>
    <s v="NS"/>
    <s v="NS"/>
    <n v="17306.605723952402"/>
    <x v="24"/>
    <s v="NS"/>
    <s v="NS"/>
    <m/>
  </r>
  <r>
    <x v="3"/>
    <s v="2015"/>
    <s v="Total"/>
    <s v="NS"/>
    <s v="NS"/>
    <n v="17287.325483000001"/>
    <x v="24"/>
    <s v="NS"/>
    <s v="NS"/>
    <m/>
  </r>
  <r>
    <x v="3"/>
    <s v="2016"/>
    <s v="Total"/>
    <s v="NS"/>
    <s v="NS"/>
    <n v="17341.694241587"/>
    <x v="24"/>
    <s v="NS"/>
    <s v="NS"/>
    <m/>
  </r>
  <r>
    <x v="3"/>
    <s v="2017"/>
    <s v="Total"/>
    <s v="NS"/>
    <s v="NS"/>
    <n v="17353.787671198901"/>
    <x v="24"/>
    <s v="NS"/>
    <s v="NS"/>
    <m/>
  </r>
  <r>
    <x v="3"/>
    <s v="2018"/>
    <s v="Total"/>
    <s v="NS"/>
    <s v="NS"/>
    <n v="17507.7722104352"/>
    <x v="24"/>
    <s v="NS"/>
    <s v="NS"/>
    <m/>
  </r>
  <r>
    <x v="3"/>
    <s v="2019"/>
    <s v="Total"/>
    <s v="NS"/>
    <s v="NS"/>
    <n v="17528.582816007802"/>
    <x v="24"/>
    <s v="NS"/>
    <s v="NS"/>
    <m/>
  </r>
  <r>
    <x v="3"/>
    <s v="2020"/>
    <s v="Total"/>
    <n v="0"/>
    <n v="0"/>
    <n v="20599.9999795406"/>
    <x v="25"/>
    <s v="0.0 - 3.1"/>
    <n v="0"/>
    <n v="3.1"/>
  </r>
  <r>
    <x v="3"/>
    <s v="2021"/>
    <s v="Total"/>
    <s v="NS"/>
    <s v="NS"/>
    <n v="20599.9999795406"/>
    <x v="24"/>
    <s v="NS"/>
    <s v="NS"/>
    <m/>
  </r>
  <r>
    <x v="4"/>
    <s v="2014"/>
    <s v="Total"/>
    <n v="1201"/>
    <n v="15.496317173197999"/>
    <n v="775022.856448206"/>
    <x v="26"/>
    <s v="14.4 - 16.2"/>
    <n v="14.4"/>
    <n v="16.2"/>
  </r>
  <r>
    <x v="4"/>
    <s v="2015"/>
    <s v="Total"/>
    <n v="1022"/>
    <n v="13.069015855372999"/>
    <n v="782002.26498291595"/>
    <x v="27"/>
    <s v="12.4 - 14.0"/>
    <n v="12.4"/>
    <n v="14"/>
  </r>
  <r>
    <x v="4"/>
    <s v="2016"/>
    <s v="Total"/>
    <n v="749"/>
    <n v="9.5313049089130004"/>
    <n v="785831.53844923701"/>
    <x v="28"/>
    <s v="9.5 - 10.9"/>
    <n v="9.5"/>
    <n v="10.9"/>
  </r>
  <r>
    <x v="4"/>
    <s v="2017"/>
    <s v="Total"/>
    <n v="667"/>
    <n v="8.4344277438400006"/>
    <n v="790806.46637481602"/>
    <x v="29"/>
    <s v="8.2 - 9.5"/>
    <n v="8.1999999999999993"/>
    <n v="9.5"/>
  </r>
  <r>
    <x v="4"/>
    <s v="2018"/>
    <s v="Total"/>
    <n v="683"/>
    <n v="8.5806854094370006"/>
    <n v="795973.71003578498"/>
    <x v="30"/>
    <s v="8.2 - 9.5"/>
    <n v="8.1999999999999993"/>
    <n v="9.5"/>
  </r>
  <r>
    <x v="4"/>
    <s v="2019"/>
    <s v="Total"/>
    <n v="611"/>
    <n v="7.6601351008789997"/>
    <n v="797636.06248906604"/>
    <x v="31"/>
    <s v="7.4 - 8.6"/>
    <n v="7.4"/>
    <n v="8.6"/>
  </r>
  <r>
    <x v="4"/>
    <s v="2020"/>
    <s v="Total"/>
    <n v="350"/>
    <n v="4.3219000497230002"/>
    <n v="809829.001071929"/>
    <x v="32"/>
    <s v="4.0 - 4.9"/>
    <n v="4"/>
    <n v="4.9000000000000004"/>
  </r>
  <r>
    <x v="4"/>
    <s v="2021"/>
    <s v="Total"/>
    <n v="383"/>
    <n v="4.7293934829820001"/>
    <n v="809829.001071929"/>
    <x v="33"/>
    <s v="4.6 - 5.6"/>
    <n v="4.5999999999999996"/>
    <n v="5.6"/>
  </r>
  <r>
    <x v="5"/>
    <s v="2014"/>
    <s v="Total"/>
    <n v="68"/>
    <n v="9.4906083314980005"/>
    <n v="71649.780103466503"/>
    <x v="34"/>
    <s v="7.0 - 11.3"/>
    <n v="7"/>
    <n v="11.3"/>
  </r>
  <r>
    <x v="5"/>
    <s v="2015"/>
    <s v="Total"/>
    <n v="65"/>
    <n v="9.1079325623909995"/>
    <n v="71366.360647416703"/>
    <x v="35"/>
    <s v="7.2 - 11.9"/>
    <n v="7.2"/>
    <n v="11.9"/>
  </r>
  <r>
    <x v="5"/>
    <s v="2016"/>
    <s v="Total"/>
    <n v="53"/>
    <n v="7.4224410735650004"/>
    <n v="71405.080181447702"/>
    <x v="36"/>
    <s v="5.6 - 9.7"/>
    <n v="5.6"/>
    <n v="9.6999999999999993"/>
  </r>
  <r>
    <x v="5"/>
    <s v="2017"/>
    <s v="Total"/>
    <n v="41"/>
    <n v="5.7418077479990002"/>
    <n v="71406.082891376704"/>
    <x v="37"/>
    <s v="4.1 - 7.7"/>
    <n v="4.0999999999999996"/>
    <n v="7.7"/>
  </r>
  <r>
    <x v="5"/>
    <s v="2018"/>
    <s v="Total"/>
    <n v="59"/>
    <n v="8.236319131358"/>
    <n v="71633.941156268804"/>
    <x v="38"/>
    <s v="6.6 - 11.2"/>
    <n v="6.6"/>
    <n v="11.2"/>
  </r>
  <r>
    <x v="5"/>
    <s v="2019"/>
    <s v="Total"/>
    <n v="51"/>
    <n v="7.156494043895"/>
    <n v="71263.945288270595"/>
    <x v="39"/>
    <s v="5.3 - 9.3"/>
    <n v="5.3"/>
    <n v="9.3000000000000007"/>
  </r>
  <r>
    <x v="5"/>
    <s v="2020"/>
    <s v="Total"/>
    <n v="30"/>
    <n v="4.2236269744010002"/>
    <n v="71028.999913632797"/>
    <x v="40"/>
    <s v="2.7 - 5.7"/>
    <n v="2.7"/>
    <n v="5.7"/>
  </r>
  <r>
    <x v="5"/>
    <s v="2021"/>
    <s v="Total"/>
    <n v="22"/>
    <n v="3.0973264478939999"/>
    <n v="71028.999913632797"/>
    <x v="41"/>
    <s v="2.2 - 5.4"/>
    <n v="2.2000000000000002"/>
    <n v="5.4"/>
  </r>
  <r>
    <x v="6"/>
    <s v="2014"/>
    <s v="Total"/>
    <n v="806"/>
    <n v="17.082433777401"/>
    <n v="471829.72315471899"/>
    <x v="42"/>
    <s v="15.4 - 17.7"/>
    <n v="15.4"/>
    <n v="17.7"/>
  </r>
  <r>
    <x v="6"/>
    <s v="2015"/>
    <s v="Total"/>
    <n v="798"/>
    <n v="16.886474317958999"/>
    <n v="472567.56204656302"/>
    <x v="43"/>
    <s v="15.5 - 17.8"/>
    <n v="15.5"/>
    <n v="17.8"/>
  </r>
  <r>
    <x v="6"/>
    <s v="2016"/>
    <s v="Total"/>
    <n v="531"/>
    <n v="11.264144721438001"/>
    <n v="471407.29556621902"/>
    <x v="44"/>
    <s v="10.7 - 12.7"/>
    <n v="10.7"/>
    <n v="12.7"/>
  </r>
  <r>
    <x v="6"/>
    <s v="2017"/>
    <s v="Total"/>
    <n v="588"/>
    <n v="12.471906783746"/>
    <n v="471459.58528673701"/>
    <x v="45"/>
    <s v="12.0 - 14.2"/>
    <n v="12"/>
    <n v="14.2"/>
  </r>
  <r>
    <x v="6"/>
    <s v="2018"/>
    <s v="Total"/>
    <n v="609"/>
    <n v="12.89580393993"/>
    <n v="472246.63373976701"/>
    <x v="46"/>
    <s v="12.7 - 14.9"/>
    <n v="12.7"/>
    <n v="14.9"/>
  </r>
  <r>
    <x v="6"/>
    <s v="2019"/>
    <s v="Total"/>
    <n v="474"/>
    <n v="10.079534714209"/>
    <n v="470259.802103539"/>
    <x v="47"/>
    <s v="9.5 - 11.4"/>
    <n v="9.5"/>
    <n v="11.4"/>
  </r>
  <r>
    <x v="6"/>
    <s v="2020"/>
    <s v="Total"/>
    <n v="184"/>
    <n v="3.9499812240479999"/>
    <n v="465824.99906515999"/>
    <x v="48"/>
    <s v="3.4 - 4.6"/>
    <n v="3.4"/>
    <n v="4.5999999999999996"/>
  </r>
  <r>
    <x v="6"/>
    <s v="2021"/>
    <s v="Total"/>
    <n v="263"/>
    <n v="5.6458970756779996"/>
    <n v="465824.99906515999"/>
    <x v="49"/>
    <s v="5.2 - 6.6"/>
    <n v="5.2"/>
    <n v="6.6"/>
  </r>
  <r>
    <x v="7"/>
    <s v="2014"/>
    <s v="Total"/>
    <n v="110"/>
    <n v="6.7800228266840001"/>
    <n v="162241.34167671899"/>
    <x v="50"/>
    <s v="5.9 - 8.7"/>
    <n v="5.9"/>
    <n v="8.6999999999999993"/>
  </r>
  <r>
    <x v="7"/>
    <s v="2015"/>
    <s v="Total"/>
    <n v="106"/>
    <n v="6.5180209030869998"/>
    <n v="162626.05102997701"/>
    <x v="51"/>
    <s v="5.4 - 7.9"/>
    <n v="5.4"/>
    <n v="7.9"/>
  </r>
  <r>
    <x v="7"/>
    <s v="2016"/>
    <s v="Total"/>
    <n v="58"/>
    <n v="3.5439958319340001"/>
    <n v="163657.07735143401"/>
    <x v="52"/>
    <s v="3.2 - 5.3"/>
    <n v="3.2"/>
    <n v="5.3"/>
  </r>
  <r>
    <x v="7"/>
    <s v="2017"/>
    <s v="Total"/>
    <n v="64"/>
    <n v="3.9129614655079998"/>
    <n v="163558.98355793601"/>
    <x v="53"/>
    <s v="3.6 - 6.0"/>
    <n v="3.6"/>
    <n v="6"/>
  </r>
  <r>
    <x v="7"/>
    <s v="2018"/>
    <s v="Total"/>
    <n v="86"/>
    <n v="5.2458229748720004"/>
    <n v="163939.958347693"/>
    <x v="54"/>
    <s v="5.0 - 7.6"/>
    <n v="5"/>
    <n v="7.6"/>
  </r>
  <r>
    <x v="7"/>
    <s v="2019"/>
    <s v="Total"/>
    <n v="74"/>
    <n v="4.4907147928319997"/>
    <n v="164784.45729423099"/>
    <x v="55"/>
    <s v="4.1 - 6.5"/>
    <n v="4.0999999999999996"/>
    <n v="6.5"/>
  </r>
  <r>
    <x v="7"/>
    <s v="2020"/>
    <s v="Total"/>
    <n v="48"/>
    <n v="2.9573403605239998"/>
    <n v="162308.00025832601"/>
    <x v="56"/>
    <s v="2.3 - 4.1"/>
    <n v="2.2999999999999998"/>
    <n v="4.0999999999999996"/>
  </r>
  <r>
    <x v="7"/>
    <s v="2021"/>
    <s v="Total"/>
    <n v="41"/>
    <n v="2.5260615579480001"/>
    <n v="162308.00025832601"/>
    <x v="57"/>
    <s v="2.0 - 3.7"/>
    <n v="2"/>
    <n v="3.7"/>
  </r>
  <r>
    <x v="8"/>
    <s v="2014"/>
    <s v="Total"/>
    <n v="1336"/>
    <n v="8.4587707555720009"/>
    <n v="1579425.7092496399"/>
    <x v="58"/>
    <s v="8.1 - 9.1"/>
    <n v="8.1"/>
    <n v="9.1"/>
  </r>
  <r>
    <x v="8"/>
    <s v="2015"/>
    <s v="Total"/>
    <n v="1152"/>
    <n v="7.2317347140169996"/>
    <n v="1592978.78801752"/>
    <x v="59"/>
    <s v="6.8 - 7.6"/>
    <n v="6.8"/>
    <n v="7.6"/>
  </r>
  <r>
    <x v="8"/>
    <s v="2016"/>
    <s v="Total"/>
    <n v="872"/>
    <n v="5.4327678587159998"/>
    <n v="1605075.02377632"/>
    <x v="60"/>
    <s v="5.5 - 6.2"/>
    <n v="5.5"/>
    <n v="6.2"/>
  </r>
  <r>
    <x v="8"/>
    <s v="2017"/>
    <s v="Total"/>
    <n v="872"/>
    <n v="5.3977232845019998"/>
    <n v="1615495.93048548"/>
    <x v="61"/>
    <s v="5.5 - 6.3"/>
    <n v="5.5"/>
    <n v="6.3"/>
  </r>
  <r>
    <x v="8"/>
    <s v="2018"/>
    <s v="Total"/>
    <n v="802"/>
    <n v="4.9455584671789996"/>
    <n v="1621657.0996427301"/>
    <x v="62"/>
    <s v="4.9 - 5.6"/>
    <n v="4.9000000000000004"/>
    <n v="5.6"/>
  </r>
  <r>
    <x v="8"/>
    <s v="2019"/>
    <s v="Total"/>
    <n v="793"/>
    <n v="4.8768589010390002"/>
    <n v="1626046.63389181"/>
    <x v="63"/>
    <s v="4.8 - 5.6"/>
    <n v="4.8"/>
    <n v="5.6"/>
  </r>
  <r>
    <x v="8"/>
    <s v="2020"/>
    <s v="Total"/>
    <n v="435"/>
    <n v="2.665437914845"/>
    <n v="1632001.99703502"/>
    <x v="64"/>
    <s v="2.4 - 2.9"/>
    <n v="2.4"/>
    <n v="2.9"/>
  </r>
  <r>
    <x v="8"/>
    <s v="2021"/>
    <s v="Total"/>
    <n v="525"/>
    <n v="3.2169078282610002"/>
    <n v="1632001.99703502"/>
    <x v="65"/>
    <s v="3.2 - 3.9"/>
    <n v="3.2"/>
    <n v="3.9"/>
  </r>
  <r>
    <x v="9"/>
    <s v="2014"/>
    <s v="Total"/>
    <s v="NS"/>
    <s v="NS"/>
    <n v="10779.820145293599"/>
    <x v="24"/>
    <s v="NS"/>
    <s v="NS"/>
    <m/>
  </r>
  <r>
    <x v="9"/>
    <s v="2015"/>
    <s v="Total"/>
    <s v="NS"/>
    <s v="NS"/>
    <n v="10896.6916008195"/>
    <x v="24"/>
    <s v="NS"/>
    <s v="NS"/>
    <m/>
  </r>
  <r>
    <x v="9"/>
    <s v="2016"/>
    <s v="Total"/>
    <s v="NS"/>
    <s v="NS"/>
    <n v="11118.3958548418"/>
    <x v="24"/>
    <s v="NS"/>
    <s v="NS"/>
    <m/>
  </r>
  <r>
    <x v="9"/>
    <s v="2017"/>
    <s v="Total"/>
    <s v="NS"/>
    <s v="NS"/>
    <n v="11212.2369653144"/>
    <x v="24"/>
    <s v="NS"/>
    <s v="NS"/>
    <m/>
  </r>
  <r>
    <x v="9"/>
    <s v="2018"/>
    <s v="Total"/>
    <s v="NS"/>
    <s v="NS"/>
    <n v="11118.070128007201"/>
    <x v="24"/>
    <s v="NS"/>
    <s v="NS"/>
    <m/>
  </r>
  <r>
    <x v="9"/>
    <s v="2019"/>
    <s v="Total"/>
    <s v="NS"/>
    <s v="NS"/>
    <n v="11338.6127153202"/>
    <x v="24"/>
    <s v="NS"/>
    <s v="NS"/>
    <m/>
  </r>
  <r>
    <x v="9"/>
    <s v="2020"/>
    <s v="Total"/>
    <s v="NS"/>
    <s v="NS"/>
    <n v="14255.000038147"/>
    <x v="24"/>
    <s v="NS"/>
    <s v="NS"/>
    <m/>
  </r>
  <r>
    <x v="9"/>
    <s v="2021"/>
    <s v="Total"/>
    <s v="NS"/>
    <s v="NS"/>
    <n v="14255.000038147"/>
    <x v="24"/>
    <s v="NS"/>
    <s v="NS"/>
    <m/>
  </r>
  <r>
    <x v="10"/>
    <s v="2014"/>
    <s v="Total"/>
    <n v="622"/>
    <n v="8.9416812408189994"/>
    <n v="695618.623889804"/>
    <x v="66"/>
    <s v="8.1 - 9.4"/>
    <n v="8.1"/>
    <n v="9.4"/>
  </r>
  <r>
    <x v="10"/>
    <s v="2015"/>
    <s v="Total"/>
    <n v="560"/>
    <n v="8.0095853536370001"/>
    <n v="699162.28528073395"/>
    <x v="67"/>
    <s v="7.1 - 8.4"/>
    <n v="7.1"/>
    <n v="8.4"/>
  </r>
  <r>
    <x v="10"/>
    <s v="2016"/>
    <s v="Total"/>
    <n v="369"/>
    <n v="5.2486553420539996"/>
    <n v="703037.20848918403"/>
    <x v="68"/>
    <s v="4.9 - 6.1"/>
    <n v="4.9000000000000004"/>
    <n v="6.1"/>
  </r>
  <r>
    <x v="10"/>
    <s v="2017"/>
    <s v="Total"/>
    <n v="382"/>
    <n v="5.4012342371989996"/>
    <n v="707245.75758826896"/>
    <x v="69"/>
    <s v="5.0 - 6.1"/>
    <n v="5"/>
    <n v="6.1"/>
  </r>
  <r>
    <x v="10"/>
    <s v="2018"/>
    <s v="Total"/>
    <n v="413"/>
    <n v="5.8070760509110002"/>
    <n v="711201.29369614902"/>
    <x v="70"/>
    <s v="5.3 - 6.4"/>
    <n v="5.3"/>
    <n v="6.4"/>
  </r>
  <r>
    <x v="10"/>
    <s v="2019"/>
    <s v="Total"/>
    <n v="406"/>
    <n v="5.6730262960299997"/>
    <n v="715667.40362909704"/>
    <x v="71"/>
    <s v="5.2 - 6.4"/>
    <n v="5.2"/>
    <n v="6.4"/>
  </r>
  <r>
    <x v="10"/>
    <s v="2020"/>
    <s v="Total"/>
    <n v="174"/>
    <n v="2.3967569414679999"/>
    <n v="725980.99953079096"/>
    <x v="72"/>
    <s v="2.0 - 2.7"/>
    <n v="2"/>
    <n v="2.7"/>
  </r>
  <r>
    <x v="10"/>
    <s v="2021"/>
    <s v="Total"/>
    <n v="235"/>
    <n v="3.2369993175010001"/>
    <n v="725980.99953079096"/>
    <x v="73"/>
    <s v="3.1 - 4.0"/>
    <n v="3.1"/>
    <n v="4"/>
  </r>
  <r>
    <x v="11"/>
    <s v="2014"/>
    <s v="Total"/>
    <n v="591"/>
    <n v="11.603682099112"/>
    <n v="509321.08873025799"/>
    <x v="74"/>
    <s v="10.8 - 12.7"/>
    <n v="10.8"/>
    <n v="12.7"/>
  </r>
  <r>
    <x v="11"/>
    <s v="2015"/>
    <s v="Total"/>
    <n v="568"/>
    <n v="11.076844636622001"/>
    <n v="512781.408996257"/>
    <x v="75"/>
    <s v="10.0 - 11.8"/>
    <n v="10"/>
    <n v="11.8"/>
  </r>
  <r>
    <x v="11"/>
    <s v="2016"/>
    <s v="Total"/>
    <n v="398"/>
    <n v="7.7100745728289999"/>
    <n v="516207.71788971598"/>
    <x v="76"/>
    <s v="7.3 - 8.9"/>
    <n v="7.3"/>
    <n v="8.9"/>
  </r>
  <r>
    <x v="11"/>
    <s v="2017"/>
    <s v="Total"/>
    <n v="419"/>
    <n v="8.0493664474479996"/>
    <n v="520537.861874622"/>
    <x v="77"/>
    <s v="7.6 - 9.2"/>
    <n v="7.6"/>
    <n v="9.1999999999999993"/>
  </r>
  <r>
    <x v="11"/>
    <s v="2018"/>
    <s v="Total"/>
    <n v="398"/>
    <n v="7.5856471590219998"/>
    <n v="524675.07604362001"/>
    <x v="78"/>
    <s v="7.0 - 8.5"/>
    <n v="7"/>
    <n v="8.5"/>
  </r>
  <r>
    <x v="11"/>
    <s v="2019"/>
    <s v="Total"/>
    <n v="397"/>
    <n v="7.5143181975909998"/>
    <n v="528324.71231689397"/>
    <x v="79"/>
    <s v="6.8 - 8.2"/>
    <n v="6.8"/>
    <n v="8.1999999999999993"/>
  </r>
  <r>
    <x v="11"/>
    <s v="2020"/>
    <s v="Total"/>
    <n v="248"/>
    <n v="4.6720256827149997"/>
    <n v="530818.99981307902"/>
    <x v="80"/>
    <s v="4.1 - 5.2"/>
    <n v="4.0999999999999996"/>
    <n v="5.2"/>
  </r>
  <r>
    <x v="11"/>
    <s v="2021"/>
    <s v="Total"/>
    <n v="278"/>
    <n v="5.2371900798180002"/>
    <n v="530818.99981307902"/>
    <x v="81"/>
    <s v="4.8 - 6.1"/>
    <n v="4.8"/>
    <n v="6.1"/>
  </r>
  <r>
    <x v="12"/>
    <s v="2014"/>
    <s v="Total"/>
    <n v="1322"/>
    <n v="17.079916138405"/>
    <n v="774008.48416779295"/>
    <x v="82"/>
    <s v="18.7 - 20.8"/>
    <n v="18.7"/>
    <n v="20.8"/>
  </r>
  <r>
    <x v="12"/>
    <s v="2015"/>
    <s v="Total"/>
    <n v="1174"/>
    <n v="14.965928565752"/>
    <n v="784448.48566663999"/>
    <x v="83"/>
    <s v="16.5 - 18.4"/>
    <n v="16.5"/>
    <n v="18.399999999999999"/>
  </r>
  <r>
    <x v="12"/>
    <s v="2016"/>
    <s v="Total"/>
    <n v="853"/>
    <n v="10.700692693793"/>
    <n v="797144.65634053398"/>
    <x v="84"/>
    <s v="11.8 - 13.5"/>
    <n v="11.8"/>
    <n v="13.5"/>
  </r>
  <r>
    <x v="12"/>
    <s v="2017"/>
    <s v="Total"/>
    <n v="818"/>
    <n v="10.156710672293"/>
    <n v="805378.85383647296"/>
    <x v="85"/>
    <s v="11.0 - 12.6"/>
    <n v="11"/>
    <n v="12.6"/>
  </r>
  <r>
    <x v="12"/>
    <s v="2018"/>
    <s v="Total"/>
    <n v="772"/>
    <n v="9.5406430060409999"/>
    <n v="809169.779763386"/>
    <x v="86"/>
    <s v="10.4 - 12.0"/>
    <n v="10.4"/>
    <n v="12"/>
  </r>
  <r>
    <x v="12"/>
    <s v="2019"/>
    <s v="Total"/>
    <n v="691"/>
    <n v="8.5137148251279999"/>
    <n v="811631.60170746199"/>
    <x v="87"/>
    <s v="9.0 - 10.5"/>
    <n v="9"/>
    <n v="10.5"/>
  </r>
  <r>
    <x v="12"/>
    <s v="2020"/>
    <s v="Total"/>
    <n v="371"/>
    <n v="4.6494957040599996"/>
    <n v="797935.99911499"/>
    <x v="88"/>
    <s v="4.7 - 5.8"/>
    <n v="4.7"/>
    <n v="5.8"/>
  </r>
  <r>
    <x v="12"/>
    <s v="2021"/>
    <s v="Total"/>
    <n v="549"/>
    <n v="6.8802510553339999"/>
    <n v="797935.99911499"/>
    <x v="89"/>
    <s v="7.5 - 8.9"/>
    <n v="7.5"/>
    <n v="8.9"/>
  </r>
  <r>
    <x v="13"/>
    <s v="2014"/>
    <s v="Total"/>
    <n v="1030"/>
    <n v="12.575376904343001"/>
    <n v="819060.93776339502"/>
    <x v="90"/>
    <s v="11.4 - 12.9"/>
    <n v="11.4"/>
    <n v="12.9"/>
  </r>
  <r>
    <x v="13"/>
    <s v="2015"/>
    <s v="Total"/>
    <n v="944"/>
    <n v="11.468056545845"/>
    <n v="823156.03888608306"/>
    <x v="91"/>
    <s v="10.5 - 11.9"/>
    <n v="10.5"/>
    <n v="11.9"/>
  </r>
  <r>
    <x v="13"/>
    <s v="2016"/>
    <s v="Total"/>
    <n v="579"/>
    <n v="7.0063765325659997"/>
    <n v="826390.07097138197"/>
    <x v="92"/>
    <s v="6.6 - 7.8"/>
    <n v="6.6"/>
    <n v="7.8"/>
  </r>
  <r>
    <x v="13"/>
    <s v="2017"/>
    <s v="Total"/>
    <n v="685"/>
    <n v="8.2283621195949994"/>
    <n v="832486.45361478103"/>
    <x v="93"/>
    <s v="7.9 - 9.2"/>
    <n v="7.9"/>
    <n v="9.1999999999999993"/>
  </r>
  <r>
    <x v="13"/>
    <s v="2018"/>
    <s v="Total"/>
    <n v="570"/>
    <n v="6.8162096779820001"/>
    <n v="836241.88064688805"/>
    <x v="94"/>
    <s v="6.5 - 7.7"/>
    <n v="6.5"/>
    <n v="7.7"/>
  </r>
  <r>
    <x v="13"/>
    <s v="2019"/>
    <s v="Total"/>
    <n v="657"/>
    <n v="7.84297190809"/>
    <n v="837692.66000076605"/>
    <x v="95"/>
    <s v="7.3 - 8.5"/>
    <n v="7.3"/>
    <n v="8.5"/>
  </r>
  <r>
    <x v="13"/>
    <s v="2020"/>
    <s v="Total"/>
    <n v="352"/>
    <n v="4.0830009067270003"/>
    <n v="862111.001298188"/>
    <x v="96"/>
    <s v="3.5 - 4.3"/>
    <n v="3.5"/>
    <n v="4.3"/>
  </r>
  <r>
    <x v="13"/>
    <s v="2021"/>
    <s v="Total"/>
    <n v="364"/>
    <n v="4.2221941194559998"/>
    <n v="862111.001298188"/>
    <x v="97"/>
    <s v="4.0 - 4.9"/>
    <n v="4"/>
    <n v="4.9000000000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x v="0"/>
    <s v="2014"/>
    <s v="Total"/>
    <n v="142"/>
    <n v="6.5766068124129999"/>
    <n v="215916.81554077001"/>
    <n v="6.1851817044919999"/>
    <s v="5.2 - 7.2"/>
    <n v="5.2"/>
    <n v="7.2"/>
    <x v="0"/>
    <n v="-2.6433818804922946E-2"/>
  </r>
  <r>
    <x v="0"/>
    <s v="2015"/>
    <s v="Total"/>
    <n v="138"/>
    <n v="6.393818845927"/>
    <n v="215833.45309806199"/>
    <n v="5.6125244388670001"/>
    <s v="4.7 - 6.5"/>
    <n v="4.7"/>
    <n v="6.5"/>
    <x v="0"/>
    <n v="-3.9669765038698436E-2"/>
  </r>
  <r>
    <x v="0"/>
    <s v="2016"/>
    <s v="Total"/>
    <n v="83"/>
    <n v="3.8442478458129998"/>
    <n v="215906.994889505"/>
    <n v="4.5344753979750001"/>
    <s v="3.6 - 5.5"/>
    <n v="3.6"/>
    <n v="5.5"/>
    <x v="0"/>
    <n v="-6.4586936266863251E-2"/>
  </r>
  <r>
    <x v="0"/>
    <s v="2017"/>
    <s v="Total"/>
    <n v="72"/>
    <n v="3.3264774671240001"/>
    <n v="216445.17574994199"/>
    <n v="4.3080996641420004"/>
    <s v="3.3 - 5.3"/>
    <n v="3.3"/>
    <n v="5.3"/>
    <x v="0"/>
    <n v="-6.9819205586590299E-2"/>
  </r>
  <r>
    <x v="0"/>
    <s v="2018"/>
    <s v="Total"/>
    <n v="73"/>
    <n v="3.3633989076469999"/>
    <n v="217042.34913678101"/>
    <n v="3.8349233946169998"/>
    <s v="3.0 - 4.7"/>
    <n v="3"/>
    <n v="4.7"/>
    <x v="0"/>
    <n v="-8.0755826910512446E-2"/>
  </r>
  <r>
    <x v="0"/>
    <s v="2019"/>
    <s v="Total"/>
    <n v="71"/>
    <n v="3.2785058957939999"/>
    <n v="216562.062892991"/>
    <n v="3.6988936216339998"/>
    <s v="2.8 - 4.6"/>
    <n v="2.8"/>
    <n v="4.5999999999999996"/>
    <x v="0"/>
    <n v="-8.3899911286062417E-2"/>
  </r>
  <r>
    <x v="0"/>
    <s v="2020"/>
    <s v="Total"/>
    <n v="24"/>
    <n v="1.0480532418549999"/>
    <n v="228995.99983596799"/>
    <n v="1.1011486682830001"/>
    <s v="0.7 - 1.5"/>
    <n v="0.7"/>
    <n v="1.5"/>
    <x v="0"/>
    <n v="-0.14394212954749336"/>
  </r>
  <r>
    <x v="0"/>
    <s v="2021"/>
    <s v="Total"/>
    <n v="44"/>
    <n v="1.921430943401"/>
    <n v="228995.99983596799"/>
    <n v="2.6974051658180001"/>
    <s v="1.9 - 3.5"/>
    <n v="1.9"/>
    <n v="3.5"/>
    <x v="0"/>
    <n v="-0.10704752182144214"/>
  </r>
  <r>
    <x v="1"/>
    <s v="2014"/>
    <s v="Total"/>
    <n v="93"/>
    <n v="7.1920860474030004"/>
    <n v="129308.797735507"/>
    <n v="6.56173797795"/>
    <s v="5.2 - 7.9"/>
    <n v="5.2"/>
    <n v="7.9"/>
    <x v="0"/>
    <n v="-1.7730395503294524E-2"/>
  </r>
  <r>
    <x v="1"/>
    <s v="2015"/>
    <s v="Total"/>
    <n v="94"/>
    <n v="7.3181990814329998"/>
    <n v="128446.901968658"/>
    <n v="6.6580624639229997"/>
    <s v="5.3 - 8.0"/>
    <n v="5.3"/>
    <n v="8"/>
    <x v="0"/>
    <n v="-1.550402766712888E-2"/>
  </r>
  <r>
    <x v="1"/>
    <s v="2016"/>
    <s v="Total"/>
    <n v="42"/>
    <n v="3.2788586626599998"/>
    <n v="128093.352965438"/>
    <n v="4.3053840006049997"/>
    <s v="3.0 - 5.6"/>
    <n v="3"/>
    <n v="5.6"/>
    <x v="0"/>
    <n v="-6.988197328153016E-2"/>
  </r>
  <r>
    <x v="1"/>
    <s v="2017"/>
    <s v="Total"/>
    <n v="33"/>
    <n v="2.5882110512569998"/>
    <n v="127501.194247551"/>
    <n v="3.1868675605329999"/>
    <s v="2.1 - 4.3"/>
    <n v="2.1"/>
    <n v="4.3"/>
    <x v="0"/>
    <n v="-9.5734475905831687E-2"/>
  </r>
  <r>
    <x v="1"/>
    <s v="2018"/>
    <s v="Total"/>
    <n v="29"/>
    <n v="2.275350676685"/>
    <n v="127452.881426812"/>
    <n v="2.8622943780560002"/>
    <s v="1.8 - 3.9"/>
    <n v="1.8"/>
    <n v="3.9"/>
    <x v="0"/>
    <n v="-0.10323640323667067"/>
  </r>
  <r>
    <x v="1"/>
    <s v="2019"/>
    <s v="Total"/>
    <n v="37"/>
    <n v="2.9208692403900001"/>
    <n v="126674.61962470099"/>
    <n v="3.3557954839340001"/>
    <s v="2.3 - 4.4"/>
    <n v="2.2999999999999998"/>
    <n v="4.4000000000000004"/>
    <x v="0"/>
    <n v="-9.1830009751747321E-2"/>
  </r>
  <r>
    <x v="1"/>
    <s v="2020"/>
    <s v="Total"/>
    <n v="11"/>
    <n v="0.85254134821299998"/>
    <n v="129026.000006288"/>
    <n v="0.83745220000599996"/>
    <s v="0.3 - 1.3"/>
    <n v="0.3"/>
    <n v="1.3"/>
    <x v="0"/>
    <n v="-0.15003700074822643"/>
  </r>
  <r>
    <x v="1"/>
    <s v="2021"/>
    <s v="Total"/>
    <n v="25"/>
    <n v="1.9375939732130001"/>
    <n v="129026.000006288"/>
    <n v="2.2683226927910001"/>
    <s v="1.4 - 3.2"/>
    <n v="1.4"/>
    <n v="3.2"/>
    <x v="0"/>
    <n v="-0.11696499407534515"/>
  </r>
  <r>
    <x v="2"/>
    <s v="2014"/>
    <s v="Total"/>
    <n v="833"/>
    <n v="14.922520826477999"/>
    <n v="558216.67778941197"/>
    <n v="14.483435688027001"/>
    <s v="13.5 - 15.5"/>
    <n v="13.5"/>
    <n v="15.5"/>
    <x v="1"/>
    <n v="0.16536544779551057"/>
  </r>
  <r>
    <x v="2"/>
    <s v="2015"/>
    <s v="Total"/>
    <n v="709"/>
    <n v="12.643998443406"/>
    <n v="560740.34109814698"/>
    <n v="12.166274384607"/>
    <s v="11.3 - 13.1"/>
    <n v="11.3"/>
    <n v="13.1"/>
    <x v="1"/>
    <n v="0.11180841766934434"/>
  </r>
  <r>
    <x v="2"/>
    <s v="2016"/>
    <s v="Total"/>
    <n v="488"/>
    <n v="8.6828345257309998"/>
    <n v="562028.44653300196"/>
    <n v="9.0721754843760003"/>
    <s v="8.3 - 9.9"/>
    <n v="8.3000000000000007"/>
    <n v="9.9"/>
    <x v="1"/>
    <n v="4.0293867616886095E-2"/>
  </r>
  <r>
    <x v="2"/>
    <s v="2017"/>
    <s v="Total"/>
    <n v="516"/>
    <n v="9.1201749990989995"/>
    <n v="565778.61724247504"/>
    <n v="9.5640971187940007"/>
    <s v="8.7 - 10.4"/>
    <n v="8.6999999999999993"/>
    <n v="10.4"/>
    <x v="1"/>
    <n v="5.1663754450126713E-2"/>
  </r>
  <r>
    <x v="2"/>
    <s v="2018"/>
    <s v="Total"/>
    <n v="503"/>
    <n v="8.8196890637729997"/>
    <n v="570314.890199502"/>
    <n v="9.0968989794940001"/>
    <s v="8.3 - 9.9"/>
    <n v="8.3000000000000007"/>
    <n v="9.9"/>
    <x v="1"/>
    <n v="4.0865306890839607E-2"/>
  </r>
  <r>
    <x v="2"/>
    <s v="2019"/>
    <s v="Total"/>
    <n v="496"/>
    <n v="8.6828043232019994"/>
    <n v="571244.01464926102"/>
    <n v="8.7381067134069994"/>
    <s v="8.0 - 9.5"/>
    <n v="8"/>
    <n v="9.5"/>
    <x v="1"/>
    <n v="3.2572466778455045E-2"/>
  </r>
  <r>
    <x v="2"/>
    <s v="2020"/>
    <s v="Total"/>
    <n v="264"/>
    <n v="4.558011049858"/>
    <n v="579199.99998283305"/>
    <n v="4.5829744381489999"/>
    <s v="4.0 - 5.1"/>
    <n v="4"/>
    <n v="5.0999999999999996"/>
    <x v="1"/>
    <n v="-6.3465967885500449E-2"/>
  </r>
  <r>
    <x v="2"/>
    <s v="2021"/>
    <s v="Total"/>
    <n v="259"/>
    <n v="4.4716850830050001"/>
    <n v="579199.99998283305"/>
    <n v="4.6023787074670004"/>
    <s v="4.0 - 5.2"/>
    <n v="4"/>
    <n v="5.2"/>
    <x v="2"/>
    <n v="-6.301747298145266E-2"/>
  </r>
  <r>
    <x v="3"/>
    <s v="2014"/>
    <s v="Total"/>
    <s v="NS"/>
    <s v="NS"/>
    <n v="17306.605723952402"/>
    <s v="NS"/>
    <s v="NS"/>
    <s v="NS"/>
    <m/>
    <x v="3"/>
    <e v="#VALUE!"/>
  </r>
  <r>
    <x v="3"/>
    <s v="2015"/>
    <s v="Total"/>
    <s v="NS"/>
    <s v="NS"/>
    <n v="17287.325483000001"/>
    <s v="NS"/>
    <s v="NS"/>
    <s v="NS"/>
    <m/>
    <x v="3"/>
    <e v="#VALUE!"/>
  </r>
  <r>
    <x v="3"/>
    <s v="2016"/>
    <s v="Total"/>
    <s v="NS"/>
    <s v="NS"/>
    <n v="17341.694241587"/>
    <s v="NS"/>
    <s v="NS"/>
    <s v="NS"/>
    <m/>
    <x v="3"/>
    <e v="#VALUE!"/>
  </r>
  <r>
    <x v="3"/>
    <s v="2017"/>
    <s v="Total"/>
    <s v="NS"/>
    <s v="NS"/>
    <n v="17353.787671198901"/>
    <s v="NS"/>
    <s v="NS"/>
    <s v="NS"/>
    <m/>
    <x v="3"/>
    <e v="#VALUE!"/>
  </r>
  <r>
    <x v="3"/>
    <s v="2018"/>
    <s v="Total"/>
    <s v="NS"/>
    <s v="NS"/>
    <n v="17507.7722104352"/>
    <s v="NS"/>
    <s v="NS"/>
    <s v="NS"/>
    <m/>
    <x v="3"/>
    <e v="#VALUE!"/>
  </r>
  <r>
    <x v="3"/>
    <s v="2019"/>
    <s v="Total"/>
    <s v="NS"/>
    <s v="NS"/>
    <n v="17528.582816007802"/>
    <s v="NS"/>
    <s v="NS"/>
    <s v="NS"/>
    <m/>
    <x v="3"/>
    <e v="#VALUE!"/>
  </r>
  <r>
    <x v="3"/>
    <s v="2020"/>
    <s v="Total"/>
    <n v="0"/>
    <n v="0"/>
    <n v="20599.9999795406"/>
    <n v="0"/>
    <s v="0.0 - 3.1"/>
    <n v="0"/>
    <n v="3.1"/>
    <x v="0"/>
    <n v="-0.16939320725782556"/>
  </r>
  <r>
    <x v="3"/>
    <s v="2021"/>
    <s v="Total"/>
    <s v="NS"/>
    <s v="NS"/>
    <n v="20599.9999795406"/>
    <s v="NS"/>
    <s v="NS"/>
    <s v="NS"/>
    <m/>
    <x v="3"/>
    <e v="#VALUE!"/>
  </r>
  <r>
    <x v="4"/>
    <s v="2014"/>
    <s v="Total"/>
    <n v="1201"/>
    <n v="15.496317173197999"/>
    <n v="775022.856448206"/>
    <n v="15.296059452754999"/>
    <s v="14.4 - 16.2"/>
    <n v="14.4"/>
    <n v="16.2"/>
    <x v="1"/>
    <n v="0.18414778952745103"/>
  </r>
  <r>
    <x v="4"/>
    <s v="2015"/>
    <s v="Total"/>
    <n v="1022"/>
    <n v="13.069015855372999"/>
    <n v="782002.26498291595"/>
    <n v="13.157291969856001"/>
    <s v="12.4 - 14.0"/>
    <n v="12.4"/>
    <n v="14"/>
    <x v="1"/>
    <n v="0.13471401280010675"/>
  </r>
  <r>
    <x v="4"/>
    <s v="2016"/>
    <s v="Total"/>
    <n v="749"/>
    <n v="9.5313049089130004"/>
    <n v="785831.53844923701"/>
    <n v="10.195242805584"/>
    <s v="9.5 - 10.9"/>
    <n v="9.5"/>
    <n v="10.9"/>
    <x v="1"/>
    <n v="6.625155570140577E-2"/>
  </r>
  <r>
    <x v="4"/>
    <s v="2017"/>
    <s v="Total"/>
    <n v="667"/>
    <n v="8.4344277438400006"/>
    <n v="790806.46637481602"/>
    <n v="8.8502692204609996"/>
    <s v="8.2 - 9.5"/>
    <n v="8.1999999999999993"/>
    <n v="9.5"/>
    <x v="2"/>
    <n v="3.5164902083008251E-2"/>
  </r>
  <r>
    <x v="4"/>
    <s v="2018"/>
    <s v="Total"/>
    <n v="683"/>
    <n v="8.5806854094370006"/>
    <n v="795973.71003578498"/>
    <n v="8.8768714838180003"/>
    <s v="8.2 - 9.5"/>
    <n v="8.1999999999999993"/>
    <n v="9.5"/>
    <x v="1"/>
    <n v="3.5779765717202795E-2"/>
  </r>
  <r>
    <x v="4"/>
    <s v="2019"/>
    <s v="Total"/>
    <n v="611"/>
    <n v="7.6601351008789997"/>
    <n v="797636.06248906604"/>
    <n v="8.0096023843140003"/>
    <s v="7.4 - 8.6"/>
    <n v="7.4"/>
    <n v="8.6"/>
    <x v="1"/>
    <n v="1.5734395021126047E-2"/>
  </r>
  <r>
    <x v="4"/>
    <s v="2020"/>
    <s v="Total"/>
    <n v="350"/>
    <n v="4.3219000497230002"/>
    <n v="809829.001071929"/>
    <n v="4.4263929036440004"/>
    <s v="4.0 - 4.9"/>
    <n v="4"/>
    <n v="4.9000000000000004"/>
    <x v="1"/>
    <n v="-6.7085069390572613E-2"/>
  </r>
  <r>
    <x v="4"/>
    <s v="2021"/>
    <s v="Total"/>
    <n v="383"/>
    <n v="4.7293934829820001"/>
    <n v="809829.001071929"/>
    <n v="5.0986771229650003"/>
    <s v="4.6 - 5.6"/>
    <n v="4.5999999999999996"/>
    <n v="5.6"/>
    <x v="2"/>
    <n v="-5.1546424698720832E-2"/>
  </r>
  <r>
    <x v="5"/>
    <s v="2014"/>
    <s v="Total"/>
    <n v="68"/>
    <n v="9.4906083314980005"/>
    <n v="71649.780103466503"/>
    <n v="9.1178568964930005"/>
    <s v="7.0 - 11.3"/>
    <n v="7"/>
    <n v="11.3"/>
    <x v="0"/>
    <n v="4.1349711576064443E-2"/>
  </r>
  <r>
    <x v="5"/>
    <s v="2015"/>
    <s v="Total"/>
    <n v="65"/>
    <n v="9.1079325623909995"/>
    <n v="71366.360647416703"/>
    <n v="9.5450966724450002"/>
    <s v="7.2 - 11.9"/>
    <n v="7.2"/>
    <n v="11.9"/>
    <x v="2"/>
    <n v="5.1224593190021019E-2"/>
  </r>
  <r>
    <x v="5"/>
    <s v="2016"/>
    <s v="Total"/>
    <n v="53"/>
    <n v="7.4224410735650004"/>
    <n v="71405.080181447702"/>
    <n v="7.6639599533789999"/>
    <s v="5.6 - 9.7"/>
    <n v="5.6"/>
    <n v="9.6999999999999993"/>
    <x v="2"/>
    <n v="7.7454897777996055E-3"/>
  </r>
  <r>
    <x v="5"/>
    <s v="2017"/>
    <s v="Total"/>
    <n v="41"/>
    <n v="5.7418077479990002"/>
    <n v="71406.082891376704"/>
    <n v="5.9219336846969997"/>
    <s v="4.1 - 7.7"/>
    <n v="4.0999999999999996"/>
    <n v="7.7"/>
    <x v="0"/>
    <n v="-3.2518324922777918E-2"/>
  </r>
  <r>
    <x v="5"/>
    <s v="2018"/>
    <s v="Total"/>
    <n v="59"/>
    <n v="8.236319131358"/>
    <n v="71633.941156268804"/>
    <n v="8.8986492379259996"/>
    <s v="6.6 - 11.2"/>
    <n v="6.6"/>
    <n v="11.2"/>
    <x v="2"/>
    <n v="3.6283119467711081E-2"/>
  </r>
  <r>
    <x v="5"/>
    <s v="2019"/>
    <s v="Total"/>
    <n v="51"/>
    <n v="7.156494043895"/>
    <n v="71263.945288270595"/>
    <n v="7.3089487817299998"/>
    <s v="5.3 - 9.3"/>
    <n v="5.3"/>
    <n v="9.3000000000000007"/>
    <x v="2"/>
    <n v="-4.5995711406491971E-4"/>
  </r>
  <r>
    <x v="5"/>
    <s v="2020"/>
    <s v="Total"/>
    <n v="30"/>
    <n v="4.2236269744010002"/>
    <n v="71028.999913632797"/>
    <n v="4.2239582785709997"/>
    <s v="2.7 - 5.7"/>
    <n v="2.7"/>
    <n v="5.7"/>
    <x v="2"/>
    <n v="-7.1763982894513967E-2"/>
  </r>
  <r>
    <x v="5"/>
    <s v="2021"/>
    <s v="Total"/>
    <n v="22"/>
    <n v="3.0973264478939999"/>
    <n v="71028.999913632797"/>
    <n v="3.8348327427540001"/>
    <s v="2.2 - 5.4"/>
    <n v="2.2000000000000002"/>
    <n v="5.4"/>
    <x v="2"/>
    <n v="-8.0757922165775861E-2"/>
  </r>
  <r>
    <x v="6"/>
    <s v="2014"/>
    <s v="Total"/>
    <n v="806"/>
    <n v="17.082433777401"/>
    <n v="471829.72315471899"/>
    <n v="16.572674446981999"/>
    <s v="15.4 - 17.7"/>
    <n v="15.4"/>
    <n v="17.7"/>
    <x v="1"/>
    <n v="0.21365445684674042"/>
  </r>
  <r>
    <x v="6"/>
    <s v="2015"/>
    <s v="Total"/>
    <n v="798"/>
    <n v="16.886474317958999"/>
    <n v="472567.56204656302"/>
    <n v="16.630202810751999"/>
    <s v="15.5 - 17.8"/>
    <n v="15.5"/>
    <n v="17.8"/>
    <x v="1"/>
    <n v="0.21498412185840693"/>
  </r>
  <r>
    <x v="6"/>
    <s v="2016"/>
    <s v="Total"/>
    <n v="531"/>
    <n v="11.264144721438001"/>
    <n v="471407.29556621902"/>
    <n v="11.708572383489001"/>
    <s v="10.7 - 12.7"/>
    <n v="10.7"/>
    <n v="12.7"/>
    <x v="1"/>
    <n v="0.10122945632275181"/>
  </r>
  <r>
    <x v="6"/>
    <s v="2017"/>
    <s v="Total"/>
    <n v="588"/>
    <n v="12.471906783746"/>
    <n v="471459.58528673701"/>
    <n v="13.099601341570001"/>
    <s v="12.0 - 14.2"/>
    <n v="12"/>
    <n v="14.2"/>
    <x v="1"/>
    <n v="0.13338059733497168"/>
  </r>
  <r>
    <x v="6"/>
    <s v="2018"/>
    <s v="Total"/>
    <n v="609"/>
    <n v="12.89580393993"/>
    <n v="472246.63373976701"/>
    <n v="13.807695277740001"/>
    <s v="12.7 - 14.9"/>
    <n v="12.7"/>
    <n v="14.9"/>
    <x v="1"/>
    <n v="0.14974691944454632"/>
  </r>
  <r>
    <x v="6"/>
    <s v="2019"/>
    <s v="Total"/>
    <n v="474"/>
    <n v="10.079534714209"/>
    <n v="470259.802103539"/>
    <n v="10.412672804688"/>
    <s v="9.5 - 11.4"/>
    <n v="9.5"/>
    <n v="11.4"/>
    <x v="1"/>
    <n v="7.1277060397658146E-2"/>
  </r>
  <r>
    <x v="6"/>
    <s v="2020"/>
    <s v="Total"/>
    <n v="184"/>
    <n v="3.9499812240479999"/>
    <n v="465824.99906515999"/>
    <n v="3.9933491399849999"/>
    <s v="3.4 - 4.6"/>
    <n v="3.4"/>
    <n v="4.5999999999999996"/>
    <x v="2"/>
    <n v="-7.7094099777022737E-2"/>
  </r>
  <r>
    <x v="6"/>
    <s v="2021"/>
    <s v="Total"/>
    <n v="263"/>
    <n v="5.6458970756779996"/>
    <n v="465824.99906515999"/>
    <n v="5.8808334943289999"/>
    <s v="5.2 - 6.6"/>
    <n v="5.2"/>
    <n v="6.6"/>
    <x v="1"/>
    <n v="-3.3468282153040693E-2"/>
  </r>
  <r>
    <x v="7"/>
    <s v="2014"/>
    <s v="Total"/>
    <n v="110"/>
    <n v="6.7800228266840001"/>
    <n v="162241.34167671899"/>
    <n v="7.2894848740520004"/>
    <s v="5.9 - 8.7"/>
    <n v="5.9"/>
    <n v="8.6999999999999993"/>
    <x v="0"/>
    <n v="-9.0983045190569085E-4"/>
  </r>
  <r>
    <x v="7"/>
    <s v="2015"/>
    <s v="Total"/>
    <n v="106"/>
    <n v="6.5180209030869998"/>
    <n v="162626.05102997701"/>
    <n v="6.6638752789830002"/>
    <s v="5.4 - 7.9"/>
    <n v="5.4"/>
    <n v="7.9"/>
    <x v="0"/>
    <n v="-1.5369674866220914E-2"/>
  </r>
  <r>
    <x v="7"/>
    <s v="2016"/>
    <s v="Total"/>
    <n v="58"/>
    <n v="3.5439958319340001"/>
    <n v="163657.07735143401"/>
    <n v="4.2508314595709997"/>
    <s v="3.2 - 5.3"/>
    <n v="3.2"/>
    <n v="5.3"/>
    <x v="0"/>
    <n v="-7.1142857484681132E-2"/>
  </r>
  <r>
    <x v="7"/>
    <s v="2017"/>
    <s v="Total"/>
    <n v="64"/>
    <n v="3.9129614655079998"/>
    <n v="163558.98355793601"/>
    <n v="4.8014320456749999"/>
    <s v="3.6 - 6.0"/>
    <n v="3.6"/>
    <n v="6"/>
    <x v="0"/>
    <n v="-5.8416711862469856E-2"/>
  </r>
  <r>
    <x v="7"/>
    <s v="2018"/>
    <s v="Total"/>
    <n v="86"/>
    <n v="5.2458229748720004"/>
    <n v="163939.958347693"/>
    <n v="6.3088097615240004"/>
    <s v="5.0 - 7.6"/>
    <n v="5"/>
    <n v="7.6"/>
    <x v="2"/>
    <n v="-2.357637786409033E-2"/>
  </r>
  <r>
    <x v="7"/>
    <s v="2019"/>
    <s v="Total"/>
    <n v="74"/>
    <n v="4.4907147928319997"/>
    <n v="164784.45729423099"/>
    <n v="5.3131759431479999"/>
    <s v="4.1 - 6.5"/>
    <n v="4.0999999999999996"/>
    <n v="6.5"/>
    <x v="0"/>
    <n v="-4.6588668949182233E-2"/>
  </r>
  <r>
    <x v="7"/>
    <s v="2020"/>
    <s v="Total"/>
    <n v="48"/>
    <n v="2.9573403605239998"/>
    <n v="162308.00025832601"/>
    <n v="3.1852919750240001"/>
    <s v="2.3 - 4.1"/>
    <n v="2.2999999999999998"/>
    <n v="4.0999999999999996"/>
    <x v="2"/>
    <n v="-9.5770892740714805E-2"/>
  </r>
  <r>
    <x v="7"/>
    <s v="2021"/>
    <s v="Total"/>
    <n v="41"/>
    <n v="2.5260615579480001"/>
    <n v="162308.00025832601"/>
    <n v="2.8689660392860001"/>
    <s v="2.0 - 3.7"/>
    <n v="2"/>
    <n v="3.7"/>
    <x v="0"/>
    <n v="-0.10308219974598366"/>
  </r>
  <r>
    <x v="8"/>
    <s v="2014"/>
    <s v="Total"/>
    <n v="1336"/>
    <n v="8.4587707555720009"/>
    <n v="1579425.7092496399"/>
    <n v="8.6074753009269998"/>
    <s v="8.1 - 9.1"/>
    <n v="8.1"/>
    <n v="9.1"/>
    <x v="0"/>
    <n v="2.9553155829633859E-2"/>
  </r>
  <r>
    <x v="8"/>
    <s v="2015"/>
    <s v="Total"/>
    <n v="1152"/>
    <n v="7.2317347140169996"/>
    <n v="1592978.78801752"/>
    <n v="7.2095256002920003"/>
    <s v="6.8 - 7.6"/>
    <n v="6.8"/>
    <n v="7.6"/>
    <x v="0"/>
    <n v="-2.7579457416422233E-3"/>
  </r>
  <r>
    <x v="8"/>
    <s v="2016"/>
    <s v="Total"/>
    <n v="872"/>
    <n v="5.4327678587159998"/>
    <n v="1605075.02377632"/>
    <n v="5.8431891443620003"/>
    <s v="5.5 - 6.2"/>
    <n v="5.5"/>
    <n v="6.2"/>
    <x v="0"/>
    <n v="-3.4338363826813975E-2"/>
  </r>
  <r>
    <x v="8"/>
    <s v="2017"/>
    <s v="Total"/>
    <n v="872"/>
    <n v="5.3977232845019998"/>
    <n v="1615495.93048548"/>
    <n v="5.8610024735520003"/>
    <s v="5.5 - 6.3"/>
    <n v="5.5"/>
    <n v="6.3"/>
    <x v="0"/>
    <n v="-3.3926640652139531E-2"/>
  </r>
  <r>
    <x v="8"/>
    <s v="2018"/>
    <s v="Total"/>
    <n v="802"/>
    <n v="4.9455584671789996"/>
    <n v="1621657.0996427301"/>
    <n v="5.2813187351500002"/>
    <s v="4.9 - 5.6"/>
    <n v="4.9000000000000004"/>
    <n v="5.6"/>
    <x v="0"/>
    <n v="-4.7324991209543421E-2"/>
  </r>
  <r>
    <x v="8"/>
    <s v="2019"/>
    <s v="Total"/>
    <n v="793"/>
    <n v="4.8768589010390002"/>
    <n v="1626046.63389181"/>
    <n v="5.2002381959630002"/>
    <s v="4.8 - 5.6"/>
    <n v="4.8"/>
    <n v="5.6"/>
    <x v="0"/>
    <n v="-4.9199022539808894E-2"/>
  </r>
  <r>
    <x v="8"/>
    <s v="2020"/>
    <s v="Total"/>
    <n v="435"/>
    <n v="2.665437914845"/>
    <n v="1632001.99703502"/>
    <n v="2.653651972269"/>
    <s v="2.4 - 2.9"/>
    <n v="2.4"/>
    <n v="2.9"/>
    <x v="0"/>
    <n v="-0.10805879846481097"/>
  </r>
  <r>
    <x v="8"/>
    <s v="2021"/>
    <s v="Total"/>
    <n v="525"/>
    <n v="3.2169078282610002"/>
    <n v="1632001.99703502"/>
    <n v="3.5491601665200001"/>
    <s v="3.2 - 3.9"/>
    <n v="3.2"/>
    <n v="3.9"/>
    <x v="0"/>
    <n v="-8.7360731710896436E-2"/>
  </r>
  <r>
    <x v="9"/>
    <s v="2014"/>
    <s v="Total"/>
    <s v="NS"/>
    <s v="NS"/>
    <n v="10779.820145293599"/>
    <s v="NS"/>
    <s v="NS"/>
    <s v="NS"/>
    <m/>
    <x v="3"/>
    <e v="#VALUE!"/>
  </r>
  <r>
    <x v="9"/>
    <s v="2015"/>
    <s v="Total"/>
    <s v="NS"/>
    <s v="NS"/>
    <n v="10896.6916008195"/>
    <s v="NS"/>
    <s v="NS"/>
    <s v="NS"/>
    <m/>
    <x v="3"/>
    <e v="#VALUE!"/>
  </r>
  <r>
    <x v="9"/>
    <s v="2016"/>
    <s v="Total"/>
    <s v="NS"/>
    <s v="NS"/>
    <n v="11118.3958548418"/>
    <s v="NS"/>
    <s v="NS"/>
    <s v="NS"/>
    <m/>
    <x v="3"/>
    <e v="#VALUE!"/>
  </r>
  <r>
    <x v="9"/>
    <s v="2017"/>
    <s v="Total"/>
    <s v="NS"/>
    <s v="NS"/>
    <n v="11212.2369653144"/>
    <s v="NS"/>
    <s v="NS"/>
    <s v="NS"/>
    <m/>
    <x v="3"/>
    <e v="#VALUE!"/>
  </r>
  <r>
    <x v="9"/>
    <s v="2018"/>
    <s v="Total"/>
    <s v="NS"/>
    <s v="NS"/>
    <n v="11118.070128007201"/>
    <s v="NS"/>
    <s v="NS"/>
    <s v="NS"/>
    <m/>
    <x v="3"/>
    <e v="#VALUE!"/>
  </r>
  <r>
    <x v="9"/>
    <s v="2019"/>
    <s v="Total"/>
    <s v="NS"/>
    <s v="NS"/>
    <n v="11338.6127153202"/>
    <s v="NS"/>
    <s v="NS"/>
    <s v="NS"/>
    <m/>
    <x v="3"/>
    <e v="#VALUE!"/>
  </r>
  <r>
    <x v="9"/>
    <s v="2020"/>
    <s v="Total"/>
    <s v="NS"/>
    <s v="NS"/>
    <n v="14255.000038147"/>
    <s v="NS"/>
    <s v="NS"/>
    <s v="NS"/>
    <m/>
    <x v="3"/>
    <e v="#VALUE!"/>
  </r>
  <r>
    <x v="9"/>
    <s v="2021"/>
    <s v="Total"/>
    <s v="NS"/>
    <s v="NS"/>
    <n v="14255.000038147"/>
    <s v="NS"/>
    <s v="NS"/>
    <s v="NS"/>
    <m/>
    <x v="3"/>
    <e v="#VALUE!"/>
  </r>
  <r>
    <x v="10"/>
    <s v="2014"/>
    <s v="Total"/>
    <n v="622"/>
    <n v="8.9416812408189994"/>
    <n v="695618.623889804"/>
    <n v="8.7417075593539995"/>
    <s v="8.1 - 9.4"/>
    <n v="8.1"/>
    <n v="9.4"/>
    <x v="0"/>
    <n v="3.2655693878175449E-2"/>
  </r>
  <r>
    <x v="10"/>
    <s v="2015"/>
    <s v="Total"/>
    <n v="560"/>
    <n v="8.0095853536370001"/>
    <n v="699162.28528073395"/>
    <n v="7.7913745725699997"/>
    <s v="7.1 - 8.4"/>
    <n v="7.1"/>
    <n v="8.4"/>
    <x v="0"/>
    <n v="1.0690450315723023E-2"/>
  </r>
  <r>
    <x v="10"/>
    <s v="2016"/>
    <s v="Total"/>
    <n v="369"/>
    <n v="5.2486553420539996"/>
    <n v="703037.20848918403"/>
    <n v="5.506818149631"/>
    <s v="4.9 - 6.1"/>
    <n v="4.9000000000000004"/>
    <n v="6.1"/>
    <x v="0"/>
    <n v="-4.2112976440874257E-2"/>
  </r>
  <r>
    <x v="10"/>
    <s v="2017"/>
    <s v="Total"/>
    <n v="382"/>
    <n v="5.4012342371989996"/>
    <n v="707245.75758826896"/>
    <n v="5.5274817514930001"/>
    <s v="5.0 - 6.1"/>
    <n v="5"/>
    <n v="6.1"/>
    <x v="0"/>
    <n v="-4.1635374322365672E-2"/>
  </r>
  <r>
    <x v="10"/>
    <s v="2018"/>
    <s v="Total"/>
    <n v="413"/>
    <n v="5.8070760509110002"/>
    <n v="711201.29369614902"/>
    <n v="5.8343068883390004"/>
    <s v="5.3 - 6.4"/>
    <n v="5.3"/>
    <n v="6.4"/>
    <x v="0"/>
    <n v="-3.4543661253756248E-2"/>
  </r>
  <r>
    <x v="10"/>
    <s v="2019"/>
    <s v="Total"/>
    <n v="406"/>
    <n v="5.6730262960299997"/>
    <n v="715667.40362909704"/>
    <n v="5.8055483131149996"/>
    <s v="5.2 - 6.4"/>
    <n v="5.2"/>
    <n v="6.4"/>
    <x v="0"/>
    <n v="-3.5208364171669553E-2"/>
  </r>
  <r>
    <x v="10"/>
    <s v="2020"/>
    <s v="Total"/>
    <n v="174"/>
    <n v="2.3967569414679999"/>
    <n v="725980.99953079096"/>
    <n v="2.3375792679680001"/>
    <s v="2.0 - 2.7"/>
    <n v="2"/>
    <n v="2.7"/>
    <x v="0"/>
    <n v="-0.11536425247930975"/>
  </r>
  <r>
    <x v="10"/>
    <s v="2021"/>
    <s v="Total"/>
    <n v="235"/>
    <n v="3.2369993175010001"/>
    <n v="725980.99953079096"/>
    <n v="3.5090826571070002"/>
    <s v="3.1 - 4.0"/>
    <n v="3.1"/>
    <n v="4"/>
    <x v="0"/>
    <n v="-8.828705150392685E-2"/>
  </r>
  <r>
    <x v="11"/>
    <s v="2014"/>
    <s v="Total"/>
    <n v="591"/>
    <n v="11.603682099112"/>
    <n v="509321.08873025799"/>
    <n v="11.738193174139999"/>
    <s v="10.8 - 12.7"/>
    <n v="10.8"/>
    <n v="12.7"/>
    <x v="2"/>
    <n v="0.10191408780478217"/>
  </r>
  <r>
    <x v="11"/>
    <s v="2015"/>
    <s v="Total"/>
    <n v="568"/>
    <n v="11.076844636622001"/>
    <n v="512781.408996257"/>
    <n v="10.928602527394"/>
    <s v="10.0 - 11.8"/>
    <n v="10"/>
    <n v="11.8"/>
    <x v="2"/>
    <n v="8.3201851158308485E-2"/>
  </r>
  <r>
    <x v="11"/>
    <s v="2016"/>
    <s v="Total"/>
    <n v="398"/>
    <n v="7.7100745728289999"/>
    <n v="516207.71788971598"/>
    <n v="8.085427246419"/>
    <s v="7.3 - 8.9"/>
    <n v="7.3"/>
    <n v="8.9"/>
    <x v="2"/>
    <n v="1.7486950796191496E-2"/>
  </r>
  <r>
    <x v="11"/>
    <s v="2017"/>
    <s v="Total"/>
    <n v="419"/>
    <n v="8.0493664474479996"/>
    <n v="520537.861874622"/>
    <n v="8.3515723163879994"/>
    <s v="7.6 - 9.2"/>
    <n v="7.6"/>
    <n v="9.1999999999999993"/>
    <x v="2"/>
    <n v="2.3638417036038219E-2"/>
  </r>
  <r>
    <x v="11"/>
    <s v="2018"/>
    <s v="Total"/>
    <n v="398"/>
    <n v="7.5856471590219998"/>
    <n v="524675.07604362001"/>
    <n v="7.7609769400499999"/>
    <s v="7.0 - 8.5"/>
    <n v="7"/>
    <n v="8.5"/>
    <x v="2"/>
    <n v="9.9878635263450834E-3"/>
  </r>
  <r>
    <x v="11"/>
    <s v="2019"/>
    <s v="Total"/>
    <n v="397"/>
    <n v="7.5143181975909998"/>
    <n v="528324.71231689397"/>
    <n v="7.5053018649889998"/>
    <s v="6.8 - 8.2"/>
    <n v="6.8"/>
    <n v="8.1999999999999993"/>
    <x v="2"/>
    <n v="4.078392451824276E-3"/>
  </r>
  <r>
    <x v="11"/>
    <s v="2020"/>
    <s v="Total"/>
    <n v="248"/>
    <n v="4.6720256827149997"/>
    <n v="530818.99981307902"/>
    <n v="4.6354033618840003"/>
    <s v="4.1 - 5.2"/>
    <n v="4.0999999999999996"/>
    <n v="5.2"/>
    <x v="1"/>
    <n v="-6.2254167289737344E-2"/>
  </r>
  <r>
    <x v="11"/>
    <s v="2021"/>
    <s v="Total"/>
    <n v="278"/>
    <n v="5.2371900798180002"/>
    <n v="530818.99981307902"/>
    <n v="5.4580642960979997"/>
    <s v="4.8 - 6.1"/>
    <n v="4.8"/>
    <n v="6.1"/>
    <x v="1"/>
    <n v="-4.3239834376303812E-2"/>
  </r>
  <r>
    <x v="12"/>
    <s v="2014"/>
    <s v="Total"/>
    <n v="1322"/>
    <n v="17.079916138405"/>
    <n v="774008.48416779295"/>
    <n v="19.759423645121"/>
    <s v="18.7 - 20.8"/>
    <n v="18.7"/>
    <n v="20.8"/>
    <x v="1"/>
    <n v="0.28731045246414139"/>
  </r>
  <r>
    <x v="12"/>
    <s v="2015"/>
    <s v="Total"/>
    <n v="1174"/>
    <n v="14.965928565752"/>
    <n v="784448.48566663999"/>
    <n v="17.448715968407999"/>
    <s v="16.5 - 18.4"/>
    <n v="16.5"/>
    <n v="18.399999999999999"/>
    <x v="1"/>
    <n v="0.23390258635148536"/>
  </r>
  <r>
    <x v="12"/>
    <s v="2016"/>
    <s v="Total"/>
    <n v="853"/>
    <n v="10.700692693793"/>
    <n v="797144.65634053398"/>
    <n v="12.607233552446001"/>
    <s v="11.8 - 13.5"/>
    <n v="11.8"/>
    <n v="13.5"/>
    <x v="1"/>
    <n v="0.12200039843545804"/>
  </r>
  <r>
    <x v="12"/>
    <s v="2017"/>
    <s v="Total"/>
    <n v="818"/>
    <n v="10.156710672293"/>
    <n v="805378.85383647296"/>
    <n v="11.826535314661999"/>
    <s v="11.0 - 12.6"/>
    <n v="11"/>
    <n v="12.6"/>
    <x v="1"/>
    <n v="0.10395595803385542"/>
  </r>
  <r>
    <x v="12"/>
    <s v="2018"/>
    <s v="Total"/>
    <n v="772"/>
    <n v="9.5406430060409999"/>
    <n v="809169.779763386"/>
    <n v="11.219432007062"/>
    <s v="10.4 - 12.0"/>
    <n v="10.4"/>
    <n v="12"/>
    <x v="1"/>
    <n v="8.9923853282730046E-2"/>
  </r>
  <r>
    <x v="12"/>
    <s v="2019"/>
    <s v="Total"/>
    <n v="691"/>
    <n v="8.5137148251279999"/>
    <n v="811631.60170746199"/>
    <n v="9.7294802668480003"/>
    <s v="9.0 - 10.5"/>
    <n v="9"/>
    <n v="10.5"/>
    <x v="1"/>
    <n v="5.5486289475909813E-2"/>
  </r>
  <r>
    <x v="12"/>
    <s v="2020"/>
    <s v="Total"/>
    <n v="371"/>
    <n v="4.6494957040599996"/>
    <n v="797935.99911499"/>
    <n v="5.2466883418689996"/>
    <s v="4.7 - 5.8"/>
    <n v="4.7"/>
    <n v="5.8"/>
    <x v="1"/>
    <n v="-4.8125410676883661E-2"/>
  </r>
  <r>
    <x v="12"/>
    <s v="2021"/>
    <s v="Total"/>
    <n v="549"/>
    <n v="6.8802510553339999"/>
    <n v="797935.99911499"/>
    <n v="8.1911954561330003"/>
    <s v="7.5 - 8.9"/>
    <n v="7.5"/>
    <n v="8.9"/>
    <x v="1"/>
    <n v="1.9931593379206154E-2"/>
  </r>
  <r>
    <x v="13"/>
    <s v="2014"/>
    <s v="Total"/>
    <n v="1030"/>
    <n v="12.575376904343001"/>
    <n v="819060.93776339502"/>
    <n v="12.172833014596"/>
    <s v="11.4 - 12.9"/>
    <n v="11.4"/>
    <n v="12.9"/>
    <x v="2"/>
    <n v="0.1119600086455266"/>
  </r>
  <r>
    <x v="13"/>
    <s v="2015"/>
    <s v="Total"/>
    <n v="944"/>
    <n v="11.468056545845"/>
    <n v="823156.03888608306"/>
    <n v="11.219596935327001"/>
    <s v="10.5 - 11.9"/>
    <n v="10.5"/>
    <n v="11.9"/>
    <x v="2"/>
    <n v="8.9927665303944262E-2"/>
  </r>
  <r>
    <x v="13"/>
    <s v="2016"/>
    <s v="Total"/>
    <n v="579"/>
    <n v="7.0063765325659997"/>
    <n v="826390.07097138197"/>
    <n v="7.1860648881970004"/>
    <s v="6.6 - 7.8"/>
    <n v="6.6"/>
    <n v="7.8"/>
    <x v="2"/>
    <n v="-3.3001980494979403E-3"/>
  </r>
  <r>
    <x v="13"/>
    <s v="2017"/>
    <s v="Total"/>
    <n v="685"/>
    <n v="8.2283621195949994"/>
    <n v="832486.45361478103"/>
    <n v="8.5895679647259993"/>
    <s v="7.9 - 9.2"/>
    <n v="7.9"/>
    <n v="9.1999999999999993"/>
    <x v="2"/>
    <n v="2.9139259851399719E-2"/>
  </r>
  <r>
    <x v="13"/>
    <s v="2018"/>
    <s v="Total"/>
    <n v="570"/>
    <n v="6.8162096779820001"/>
    <n v="836241.88064688805"/>
    <n v="7.0799826312369998"/>
    <s v="6.5 - 7.7"/>
    <n v="6.5"/>
    <n v="7.7"/>
    <x v="2"/>
    <n v="-5.7520992716861286E-3"/>
  </r>
  <r>
    <x v="13"/>
    <s v="2019"/>
    <s v="Total"/>
    <n v="657"/>
    <n v="7.84297190809"/>
    <n v="837692.66000076605"/>
    <n v="7.8562107929589997"/>
    <s v="7.3 - 8.5"/>
    <n v="7.3"/>
    <n v="8.5"/>
    <x v="2"/>
    <n v="1.2189023334148246E-2"/>
  </r>
  <r>
    <x v="13"/>
    <s v="2020"/>
    <s v="Total"/>
    <n v="352"/>
    <n v="4.0830009067270003"/>
    <n v="862111.001298188"/>
    <n v="3.8832407557709998"/>
    <s v="3.5 - 4.3"/>
    <n v="3.5"/>
    <n v="4.3"/>
    <x v="2"/>
    <n v="-7.9639057714051831E-2"/>
  </r>
  <r>
    <x v="13"/>
    <s v="2021"/>
    <s v="Total"/>
    <n v="364"/>
    <n v="4.2221941194559998"/>
    <n v="862111.001298188"/>
    <n v="4.487455536053"/>
    <s v="4.0 - 4.9"/>
    <n v="4"/>
    <n v="4.9000000000000004"/>
    <x v="2"/>
    <n v="-6.56737160943278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846B7-2E15-4C8C-BBB4-7FF5AC65AE60}" name="PivotTable8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 chartFormat="4">
  <location ref="F118:G131" firstHeaderRow="1" firstDataRow="1" firstDataCol="1"/>
  <pivotFields count="12">
    <pivotField axis="axisRow" compact="0" showAll="0">
      <items count="15">
        <item x="0"/>
        <item x="1"/>
        <item x="2"/>
        <item h="1" x="3"/>
        <item x="4"/>
        <item x="5"/>
        <item x="6"/>
        <item x="7"/>
        <item x="8"/>
        <item h="1" x="9"/>
        <item x="10"/>
        <item x="11"/>
        <item x="12"/>
        <item x="13"/>
        <item t="default"/>
      </items>
    </pivotField>
    <pivotField compact="0" showAll="0"/>
    <pivotField compact="0" showAll="0"/>
    <pivotField compact="0" showAll="0"/>
    <pivotField compact="0" showAll="0"/>
    <pivotField compact="0" numFmtId="3" showAll="0"/>
    <pivotField compact="0" showAll="0"/>
    <pivotField compact="0" showAll="0"/>
    <pivotField compact="0" showAll="0"/>
    <pivotField compact="0" showAll="0"/>
    <pivotField compact="0" showAll="0">
      <items count="5">
        <item x="2"/>
        <item x="3"/>
        <item x="1"/>
        <item x="0"/>
        <item t="default"/>
      </items>
    </pivotField>
    <pivotField dataField="1" compact="0" showAll="0"/>
  </pivotFields>
  <rowFields count="1">
    <field x="0"/>
  </rowFields>
  <rowItems count="1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Z-Scor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9D26CA-D8CB-455A-8A23-3889542C048A}" name="PivotTable4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135:B148" firstHeaderRow="1" firstDataRow="1" firstDataCol="1"/>
  <pivotFields count="10">
    <pivotField axis="axisRow" compact="0" outline="0" showAll="0">
      <items count="15">
        <item x="0"/>
        <item x="1"/>
        <item x="2"/>
        <item h="1" x="3"/>
        <item x="4"/>
        <item x="5"/>
        <item x="6"/>
        <item x="7"/>
        <item x="8"/>
        <item h="1"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dataField="1" compact="0" outline="0" showAll="0">
      <items count="99">
        <item x="25"/>
        <item x="14"/>
        <item x="6"/>
        <item x="15"/>
        <item x="72"/>
        <item x="64"/>
        <item x="7"/>
        <item x="12"/>
        <item x="57"/>
        <item x="56"/>
        <item x="11"/>
        <item x="13"/>
        <item x="73"/>
        <item x="65"/>
        <item x="5"/>
        <item x="41"/>
        <item x="4"/>
        <item x="96"/>
        <item x="48"/>
        <item x="40"/>
        <item x="52"/>
        <item x="10"/>
        <item x="3"/>
        <item x="32"/>
        <item x="97"/>
        <item x="2"/>
        <item x="22"/>
        <item x="23"/>
        <item x="80"/>
        <item x="53"/>
        <item x="33"/>
        <item x="63"/>
        <item x="88"/>
        <item x="62"/>
        <item x="55"/>
        <item x="81"/>
        <item x="68"/>
        <item x="69"/>
        <item x="1"/>
        <item x="71"/>
        <item x="70"/>
        <item x="60"/>
        <item x="61"/>
        <item x="49"/>
        <item x="37"/>
        <item x="0"/>
        <item x="54"/>
        <item x="8"/>
        <item x="9"/>
        <item x="51"/>
        <item x="94"/>
        <item x="92"/>
        <item x="59"/>
        <item x="50"/>
        <item x="39"/>
        <item x="79"/>
        <item x="36"/>
        <item x="78"/>
        <item x="67"/>
        <item x="95"/>
        <item x="31"/>
        <item x="76"/>
        <item x="89"/>
        <item x="77"/>
        <item x="93"/>
        <item x="58"/>
        <item x="21"/>
        <item x="66"/>
        <item x="29"/>
        <item x="30"/>
        <item x="38"/>
        <item x="18"/>
        <item x="20"/>
        <item x="34"/>
        <item x="35"/>
        <item x="19"/>
        <item x="87"/>
        <item x="28"/>
        <item x="47"/>
        <item x="75"/>
        <item x="86"/>
        <item x="91"/>
        <item x="44"/>
        <item x="74"/>
        <item x="85"/>
        <item x="17"/>
        <item x="90"/>
        <item x="84"/>
        <item x="45"/>
        <item x="27"/>
        <item x="46"/>
        <item x="16"/>
        <item x="26"/>
        <item x="42"/>
        <item x="43"/>
        <item x="83"/>
        <item x="82"/>
        <item x="24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0"/>
  </rowFields>
  <rowItems count="13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Age Adjusted Rate" fld="6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41676-34E5-481D-927D-3FD26D446103}" name="PivotTable3" cacheId="8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8:D133" firstHeaderRow="0" firstDataRow="1" firstDataCol="1"/>
  <pivotFields count="10"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3" outline="0" showAll="0"/>
    <pivotField dataField="1" compact="0" outline="0" showAll="0">
      <items count="99">
        <item x="25"/>
        <item x="14"/>
        <item x="6"/>
        <item x="15"/>
        <item x="72"/>
        <item x="64"/>
        <item x="7"/>
        <item x="12"/>
        <item x="57"/>
        <item x="56"/>
        <item x="11"/>
        <item x="13"/>
        <item x="73"/>
        <item x="65"/>
        <item x="5"/>
        <item x="41"/>
        <item x="4"/>
        <item x="96"/>
        <item x="48"/>
        <item x="40"/>
        <item x="52"/>
        <item x="10"/>
        <item x="3"/>
        <item x="32"/>
        <item x="97"/>
        <item x="2"/>
        <item x="22"/>
        <item x="23"/>
        <item x="80"/>
        <item x="53"/>
        <item x="33"/>
        <item x="63"/>
        <item x="88"/>
        <item x="62"/>
        <item x="55"/>
        <item x="81"/>
        <item x="68"/>
        <item x="69"/>
        <item x="1"/>
        <item x="71"/>
        <item x="70"/>
        <item x="60"/>
        <item x="61"/>
        <item x="49"/>
        <item x="37"/>
        <item x="0"/>
        <item x="54"/>
        <item x="8"/>
        <item x="9"/>
        <item x="51"/>
        <item x="94"/>
        <item x="92"/>
        <item x="59"/>
        <item x="50"/>
        <item x="39"/>
        <item x="79"/>
        <item x="36"/>
        <item x="78"/>
        <item x="67"/>
        <item x="95"/>
        <item x="31"/>
        <item x="76"/>
        <item x="89"/>
        <item x="77"/>
        <item x="93"/>
        <item x="58"/>
        <item x="21"/>
        <item x="66"/>
        <item x="29"/>
        <item x="30"/>
        <item x="38"/>
        <item x="18"/>
        <item x="20"/>
        <item x="34"/>
        <item x="35"/>
        <item x="19"/>
        <item x="87"/>
        <item x="28"/>
        <item x="47"/>
        <item x="75"/>
        <item x="86"/>
        <item x="91"/>
        <item x="44"/>
        <item x="74"/>
        <item x="85"/>
        <item x="17"/>
        <item x="90"/>
        <item x="84"/>
        <item x="45"/>
        <item x="27"/>
        <item x="46"/>
        <item x="16"/>
        <item x="26"/>
        <item x="42"/>
        <item x="43"/>
        <item x="83"/>
        <item x="82"/>
        <item x="24"/>
        <item t="default"/>
      </items>
    </pivotField>
    <pivotField compact="0" outline="0" showAll="0"/>
    <pivotField dataField="1" compact="0" outline="0" showAll="0"/>
    <pivotField dataField="1" compact="0" outline="0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Age Adjusted Rate" fld="6" subtotal="average" baseField="0" baseItem="0"/>
    <dataField name="Average of Lower Range CI" fld="8" subtotal="average" baseField="0" baseItem="0"/>
    <dataField name="Average of Higher Range CI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D52BE8-7E81-4DD9-908D-DB9D712992D6}" name="Table1" displayName="Table1" ref="A1:M113" totalsRowShown="0" headerRowDxfId="16" dataDxfId="14" headerRowBorderDxfId="15" tableBorderDxfId="13">
  <autoFilter ref="A1:M113" xr:uid="{62D52BE8-7E81-4DD9-908D-DB9D712992D6}">
    <filterColumn colId="0">
      <filters>
        <filter val="Barnstable"/>
        <filter val="Berkshire"/>
        <filter val="Bristol"/>
        <filter val="Essex"/>
        <filter val="Franklin"/>
        <filter val="Hampden"/>
        <filter val="Hampshire"/>
        <filter val="Middlesex"/>
        <filter val="Norfolk"/>
        <filter val="Plymouth"/>
        <filter val="Suffolk"/>
        <filter val="Worcester"/>
      </filters>
    </filterColumn>
    <filterColumn colId="1">
      <filters>
        <filter val="2015"/>
        <filter val="2016"/>
        <filter val="2017"/>
        <filter val="2018"/>
        <filter val="2019"/>
        <filter val="2020"/>
        <filter val="2021"/>
      </filters>
    </filterColumn>
    <filterColumn colId="8">
      <filters>
        <filter val="0"/>
        <filter val="0.3"/>
        <filter val="0.7"/>
        <filter val="1.4"/>
        <filter val="1.8"/>
        <filter val="1.9"/>
        <filter val="10"/>
        <filter val="10.4"/>
        <filter val="10.5"/>
        <filter val="10.7"/>
        <filter val="10.8"/>
        <filter val="11"/>
        <filter val="11.3"/>
        <filter val="11.4"/>
        <filter val="11.8"/>
        <filter val="12"/>
        <filter val="12.4"/>
        <filter val="12.7"/>
        <filter val="13.5"/>
        <filter val="14.4"/>
        <filter val="15.4"/>
        <filter val="15.5"/>
        <filter val="16.5"/>
        <filter val="18.7"/>
        <filter val="2"/>
        <filter val="2.1"/>
        <filter val="2.2"/>
        <filter val="2.3"/>
        <filter val="2.4"/>
        <filter val="2.7"/>
        <filter val="2.8"/>
        <filter val="3"/>
        <filter val="3.1"/>
        <filter val="3.2"/>
        <filter val="3.3"/>
        <filter val="3.4"/>
        <filter val="3.5"/>
        <filter val="3.6"/>
        <filter val="4"/>
        <filter val="4.1"/>
        <filter val="4.6"/>
        <filter val="4.7"/>
        <filter val="4.8"/>
        <filter val="4.9"/>
        <filter val="5"/>
        <filter val="5.2"/>
        <filter val="5.3"/>
        <filter val="5.4"/>
        <filter val="5.5"/>
        <filter val="5.6"/>
        <filter val="5.9"/>
        <filter val="6.5"/>
        <filter val="6.6"/>
        <filter val="6.8"/>
        <filter val="7"/>
        <filter val="7.1"/>
        <filter val="7.2"/>
        <filter val="7.3"/>
        <filter val="7.4"/>
        <filter val="7.5"/>
        <filter val="7.6"/>
        <filter val="7.9"/>
        <filter val="8"/>
        <filter val="8.1"/>
        <filter val="8.2"/>
        <filter val="8.3"/>
        <filter val="8.7"/>
        <filter val="9"/>
        <filter val="9.5"/>
      </filters>
    </filterColumn>
  </autoFilter>
  <tableColumns count="13">
    <tableColumn id="1" xr3:uid="{F011590F-E76F-4C76-9480-61ABB5752D83}" name="Geo Description" dataDxfId="12"/>
    <tableColumn id="2" xr3:uid="{7A95395D-6FB3-445E-AD64-EBD9B7302E2F}" name="Year" dataDxfId="11"/>
    <tableColumn id="3" xr3:uid="{129554F1-3D65-4CCA-A178-E73E2379BDBA}" name="Age Group" dataDxfId="0"/>
    <tableColumn id="4" xr3:uid="{34B07A6E-F59A-4447-98CF-F8AD4795BFFD}" name="Case Count" dataDxfId="10"/>
    <tableColumn id="5" xr3:uid="{FE0D74C7-D58B-4DBA-A7B1-08042CC52EEB}" name="Crude Rate" dataDxfId="9"/>
    <tableColumn id="6" xr3:uid="{73C226A2-42EF-4CC7-8957-D29A647444E0}" name="Census Population" dataDxfId="8"/>
    <tableColumn id="7" xr3:uid="{C24EF0FE-CC80-4CEA-97C4-A70641F5B7E3}" name="Age Adjusted Rate" dataDxfId="7"/>
    <tableColumn id="8" xr3:uid="{2EE507C6-1A80-454B-91EC-FDBC3B5D367A}" name="Confidence Intervals" dataDxfId="6"/>
    <tableColumn id="9" xr3:uid="{AF7CE0CE-392D-456F-9484-CA9356350C83}" name="Lower Range CI" dataDxfId="5"/>
    <tableColumn id="10" xr3:uid="{AEC158E7-494F-4E6F-AD86-6A4B3B572214}" name="Higher Range CI" dataDxfId="4"/>
    <tableColumn id="11" xr3:uid="{60DDDD39-C5B8-41FC-9950-87D3A9B340CA}" name="Statistical Difference" dataDxfId="3"/>
    <tableColumn id="12" xr3:uid="{73030981-5D02-4712-A41D-0621B70FF495}" name="Z-Score Calculation" dataDxfId="2">
      <calculatedColumnFormula>(Table1[[#This Row],[Age Adjusted Rate]]-$N$8)/SQRT($N$12^2 + (SQRT(Table1[[#This Row],[Case Count]])/Table1[[#This Row],[Census Population]])^2)</calculatedColumnFormula>
    </tableColumn>
    <tableColumn id="14" xr3:uid="{E39511C9-DFF6-4D93-A64B-1224E81AA760}" name="Indicator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1D49-3F92-48DB-9668-C9213A9F1103}">
  <dimension ref="A1:O148"/>
  <sheetViews>
    <sheetView tabSelected="1" zoomScale="50" zoomScaleNormal="50" workbookViewId="0">
      <selection activeCell="S127" sqref="S127"/>
    </sheetView>
  </sheetViews>
  <sheetFormatPr defaultRowHeight="12.75" customHeight="1"/>
  <cols>
    <col min="1" max="1" width="17.85546875" bestFit="1" customWidth="1"/>
    <col min="2" max="2" width="30.42578125" bestFit="1" customWidth="1"/>
    <col min="3" max="4" width="27.42578125" bestFit="1" customWidth="1"/>
    <col min="5" max="5" width="13.7109375" bestFit="1" customWidth="1"/>
    <col min="6" max="6" width="17.85546875" bestFit="1" customWidth="1"/>
    <col min="7" max="8" width="15.140625" bestFit="1" customWidth="1"/>
    <col min="9" max="10" width="25.140625" customWidth="1"/>
    <col min="11" max="11" width="33.5703125" customWidth="1"/>
    <col min="12" max="12" width="20.42578125" customWidth="1"/>
    <col min="13" max="13" width="18" bestFit="1" customWidth="1"/>
    <col min="14" max="14" width="29.85546875" bestFit="1" customWidth="1"/>
    <col min="15" max="15" width="11.28515625" customWidth="1"/>
  </cols>
  <sheetData>
    <row r="1" spans="1:14" ht="12.75" customHeight="1" thickBot="1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5" t="s">
        <v>133</v>
      </c>
      <c r="J1" s="15" t="s">
        <v>134</v>
      </c>
      <c r="K1" s="15" t="s">
        <v>8</v>
      </c>
      <c r="L1" s="15" t="s">
        <v>139</v>
      </c>
      <c r="M1" s="15" t="s">
        <v>145</v>
      </c>
    </row>
    <row r="2" spans="1:14" ht="12.75" hidden="1" customHeight="1" thickBot="1">
      <c r="A2" s="10" t="s">
        <v>9</v>
      </c>
      <c r="B2" s="2" t="s">
        <v>10</v>
      </c>
      <c r="C2" s="2" t="s">
        <v>11</v>
      </c>
      <c r="D2" s="3">
        <v>142</v>
      </c>
      <c r="E2" s="4">
        <v>6.5766068124129999</v>
      </c>
      <c r="F2" s="5">
        <v>215916.81554077001</v>
      </c>
      <c r="G2" s="4">
        <v>6.1851817044919999</v>
      </c>
      <c r="H2" s="6" t="s">
        <v>12</v>
      </c>
      <c r="I2" s="1">
        <v>5.2</v>
      </c>
      <c r="J2" s="1">
        <v>7.2</v>
      </c>
      <c r="K2" s="16" t="s">
        <v>13</v>
      </c>
      <c r="L2" s="1">
        <f>(Table1[[#This Row],[Age Adjusted Rate]]-$N$8)/SQRT($N$12^2 + (SQRT(Table1[[#This Row],[Case Count]])/Table1[[#This Row],[Census Population]])^2)</f>
        <v>-2.6433818804922946E-2</v>
      </c>
      <c r="M2" s="1"/>
    </row>
    <row r="3" spans="1:14" ht="12.75" customHeight="1" thickBot="1">
      <c r="A3" s="10" t="s">
        <v>9</v>
      </c>
      <c r="B3" s="2" t="s">
        <v>14</v>
      </c>
      <c r="C3" s="2" t="s">
        <v>11</v>
      </c>
      <c r="D3" s="3">
        <v>138</v>
      </c>
      <c r="E3" s="4">
        <v>6.393818845927</v>
      </c>
      <c r="F3" s="5">
        <v>215833.45309806199</v>
      </c>
      <c r="G3" s="4">
        <v>5.6125244388670001</v>
      </c>
      <c r="H3" s="6" t="s">
        <v>15</v>
      </c>
      <c r="I3" s="1">
        <v>4.7</v>
      </c>
      <c r="J3" s="1">
        <v>6.5</v>
      </c>
      <c r="K3" s="16" t="s">
        <v>13</v>
      </c>
      <c r="L3" s="22">
        <f>(Table1[[#This Row],[Age Adjusted Rate]]-$N$8)/SQRT($N$12^2 + (SQRT(Table1[[#This Row],[Case Count]])/Table1[[#This Row],[Census Population]])^2)</f>
        <v>-3.9669765038698436E-2</v>
      </c>
      <c r="M3" s="22" t="s">
        <v>146</v>
      </c>
    </row>
    <row r="4" spans="1:14" ht="12.75" customHeight="1" thickBot="1">
      <c r="A4" s="10" t="s">
        <v>9</v>
      </c>
      <c r="B4" s="2" t="s">
        <v>16</v>
      </c>
      <c r="C4" s="2" t="s">
        <v>11</v>
      </c>
      <c r="D4" s="3">
        <v>83</v>
      </c>
      <c r="E4" s="4">
        <v>3.8442478458129998</v>
      </c>
      <c r="F4" s="5">
        <v>215906.994889505</v>
      </c>
      <c r="G4" s="4">
        <v>4.5344753979750001</v>
      </c>
      <c r="H4" s="6" t="s">
        <v>17</v>
      </c>
      <c r="I4" s="1">
        <v>3.6</v>
      </c>
      <c r="J4" s="1">
        <v>5.5</v>
      </c>
      <c r="K4" s="16" t="s">
        <v>13</v>
      </c>
      <c r="L4" s="22">
        <f>(Table1[[#This Row],[Age Adjusted Rate]]-$N$8)/SQRT($N$12^2 + (SQRT(Table1[[#This Row],[Case Count]])/Table1[[#This Row],[Census Population]])^2)</f>
        <v>-6.4586936266863251E-2</v>
      </c>
      <c r="M4" s="22" t="s">
        <v>146</v>
      </c>
    </row>
    <row r="5" spans="1:14" ht="12.75" customHeight="1" thickBot="1">
      <c r="A5" s="10" t="s">
        <v>9</v>
      </c>
      <c r="B5" s="2" t="s">
        <v>18</v>
      </c>
      <c r="C5" s="2" t="s">
        <v>11</v>
      </c>
      <c r="D5" s="3">
        <v>72</v>
      </c>
      <c r="E5" s="4">
        <v>3.3264774671240001</v>
      </c>
      <c r="F5" s="5">
        <v>216445.17574994199</v>
      </c>
      <c r="G5" s="4">
        <v>4.3080996641420004</v>
      </c>
      <c r="H5" s="6" t="s">
        <v>19</v>
      </c>
      <c r="I5" s="1">
        <v>3.3</v>
      </c>
      <c r="J5" s="1">
        <v>5.3</v>
      </c>
      <c r="K5" s="16" t="s">
        <v>13</v>
      </c>
      <c r="L5" s="22">
        <f>(Table1[[#This Row],[Age Adjusted Rate]]-$N$8)/SQRT($N$12^2 + (SQRT(Table1[[#This Row],[Case Count]])/Table1[[#This Row],[Census Population]])^2)</f>
        <v>-6.9819205586590299E-2</v>
      </c>
      <c r="M5" s="22" t="s">
        <v>146</v>
      </c>
    </row>
    <row r="6" spans="1:14" ht="12.75" customHeight="1" thickBot="1">
      <c r="A6" s="10" t="s">
        <v>9</v>
      </c>
      <c r="B6" s="2" t="s">
        <v>20</v>
      </c>
      <c r="C6" s="2" t="s">
        <v>11</v>
      </c>
      <c r="D6" s="3">
        <v>73</v>
      </c>
      <c r="E6" s="4">
        <v>3.3633989076469999</v>
      </c>
      <c r="F6" s="5">
        <v>217042.34913678101</v>
      </c>
      <c r="G6" s="4">
        <v>3.8349233946169998</v>
      </c>
      <c r="H6" s="6" t="s">
        <v>21</v>
      </c>
      <c r="I6" s="1">
        <v>3</v>
      </c>
      <c r="J6" s="1">
        <v>4.7</v>
      </c>
      <c r="K6" s="16" t="s">
        <v>13</v>
      </c>
      <c r="L6" s="22">
        <f>(Table1[[#This Row],[Age Adjusted Rate]]-$N$8)/SQRT($N$12^2 + (SQRT(Table1[[#This Row],[Case Count]])/Table1[[#This Row],[Census Population]])^2)</f>
        <v>-8.0755826910512446E-2</v>
      </c>
      <c r="M6" s="22" t="s">
        <v>146</v>
      </c>
    </row>
    <row r="7" spans="1:14" ht="12.75" customHeight="1" thickBot="1">
      <c r="A7" s="10" t="s">
        <v>9</v>
      </c>
      <c r="B7" s="2" t="s">
        <v>22</v>
      </c>
      <c r="C7" s="2" t="s">
        <v>11</v>
      </c>
      <c r="D7" s="3">
        <v>71</v>
      </c>
      <c r="E7" s="4">
        <v>3.2785058957939999</v>
      </c>
      <c r="F7" s="5">
        <v>216562.062892991</v>
      </c>
      <c r="G7" s="4">
        <v>3.6988936216339998</v>
      </c>
      <c r="H7" s="6" t="s">
        <v>23</v>
      </c>
      <c r="I7" s="1">
        <v>2.8</v>
      </c>
      <c r="J7" s="1">
        <v>4.5999999999999996</v>
      </c>
      <c r="K7" s="16" t="s">
        <v>13</v>
      </c>
      <c r="L7" s="22">
        <f>(Table1[[#This Row],[Age Adjusted Rate]]-$N$8)/SQRT($N$12^2 + (SQRT(Table1[[#This Row],[Case Count]])/Table1[[#This Row],[Census Population]])^2)</f>
        <v>-8.3899911286062417E-2</v>
      </c>
      <c r="M7" s="22" t="s">
        <v>146</v>
      </c>
      <c r="N7" s="21" t="s">
        <v>138</v>
      </c>
    </row>
    <row r="8" spans="1:14" ht="12.75" customHeight="1" thickBot="1">
      <c r="A8" s="10" t="s">
        <v>9</v>
      </c>
      <c r="B8" s="2" t="s">
        <v>24</v>
      </c>
      <c r="C8" s="2" t="s">
        <v>11</v>
      </c>
      <c r="D8" s="3">
        <v>24</v>
      </c>
      <c r="E8" s="4">
        <v>1.0480532418549999</v>
      </c>
      <c r="F8" s="5">
        <v>228995.99983596799</v>
      </c>
      <c r="G8" s="4">
        <v>1.1011486682830001</v>
      </c>
      <c r="H8" s="6" t="s">
        <v>25</v>
      </c>
      <c r="I8" s="1">
        <v>0.7</v>
      </c>
      <c r="J8" s="1">
        <v>1.5</v>
      </c>
      <c r="K8" s="16" t="s">
        <v>13</v>
      </c>
      <c r="L8" s="22">
        <f>(Table1[[#This Row],[Age Adjusted Rate]]-$N$8)/SQRT($N$12^2 + (SQRT(Table1[[#This Row],[Case Count]])/Table1[[#This Row],[Census Population]])^2)</f>
        <v>-0.14394212954749336</v>
      </c>
      <c r="M8" s="22" t="s">
        <v>146</v>
      </c>
      <c r="N8" s="20">
        <f>AVERAGE(G3:G113)</f>
        <v>7.3288489670732702</v>
      </c>
    </row>
    <row r="9" spans="1:14" ht="12.75" customHeight="1" thickBot="1">
      <c r="A9" s="10" t="s">
        <v>9</v>
      </c>
      <c r="B9" s="2" t="s">
        <v>26</v>
      </c>
      <c r="C9" s="2" t="s">
        <v>11</v>
      </c>
      <c r="D9" s="3">
        <v>44</v>
      </c>
      <c r="E9" s="4">
        <v>1.921430943401</v>
      </c>
      <c r="F9" s="5">
        <v>228995.99983596799</v>
      </c>
      <c r="G9" s="4">
        <v>2.6974051658180001</v>
      </c>
      <c r="H9" s="6" t="s">
        <v>27</v>
      </c>
      <c r="I9" s="1">
        <v>1.9</v>
      </c>
      <c r="J9" s="1">
        <v>3.5</v>
      </c>
      <c r="K9" s="16" t="s">
        <v>13</v>
      </c>
      <c r="L9" s="22">
        <f>(Table1[[#This Row],[Age Adjusted Rate]]-$N$8)/SQRT($N$12^2 + (SQRT(Table1[[#This Row],[Case Count]])/Table1[[#This Row],[Census Population]])^2)</f>
        <v>-0.10704752182144214</v>
      </c>
      <c r="M9" s="22" t="s">
        <v>146</v>
      </c>
    </row>
    <row r="10" spans="1:14" ht="12.75" hidden="1" customHeight="1" thickBot="1">
      <c r="A10" s="10" t="s">
        <v>28</v>
      </c>
      <c r="B10" s="7" t="s">
        <v>10</v>
      </c>
      <c r="C10" s="7" t="s">
        <v>11</v>
      </c>
      <c r="D10" s="3">
        <v>93</v>
      </c>
      <c r="E10" s="4">
        <v>7.1920860474030004</v>
      </c>
      <c r="F10" s="3">
        <v>129308.797735507</v>
      </c>
      <c r="G10" s="4">
        <v>6.56173797795</v>
      </c>
      <c r="H10" s="6" t="s">
        <v>29</v>
      </c>
      <c r="I10" s="1">
        <v>5.2</v>
      </c>
      <c r="J10" s="1">
        <v>7.9</v>
      </c>
      <c r="K10" s="16" t="s">
        <v>13</v>
      </c>
      <c r="L10" s="1">
        <f>(Table1[[#This Row],[Age Adjusted Rate]]-$N$8)/SQRT($N$12^2 + (SQRT(Table1[[#This Row],[Case Count]])/Table1[[#This Row],[Census Population]])^2)</f>
        <v>-1.7730395503294524E-2</v>
      </c>
      <c r="M10" s="1"/>
    </row>
    <row r="11" spans="1:14" ht="12.75" customHeight="1" thickBot="1">
      <c r="A11" s="10" t="s">
        <v>28</v>
      </c>
      <c r="B11" s="2" t="s">
        <v>14</v>
      </c>
      <c r="C11" s="2" t="s">
        <v>11</v>
      </c>
      <c r="D11" s="3">
        <v>94</v>
      </c>
      <c r="E11" s="4">
        <v>7.3181990814329998</v>
      </c>
      <c r="F11" s="5">
        <v>128446.901968658</v>
      </c>
      <c r="G11" s="4">
        <v>6.6580624639229997</v>
      </c>
      <c r="H11" s="6" t="s">
        <v>30</v>
      </c>
      <c r="I11" s="1">
        <v>5.3</v>
      </c>
      <c r="J11" s="1">
        <v>8</v>
      </c>
      <c r="K11" s="16" t="s">
        <v>13</v>
      </c>
      <c r="L11" s="22">
        <f>(Table1[[#This Row],[Age Adjusted Rate]]-$N$8)/SQRT($N$12^2 + (SQRT(Table1[[#This Row],[Case Count]])/Table1[[#This Row],[Census Population]])^2)</f>
        <v>-1.550402766712888E-2</v>
      </c>
      <c r="M11" s="22" t="s">
        <v>146</v>
      </c>
      <c r="N11" s="14" t="s">
        <v>137</v>
      </c>
    </row>
    <row r="12" spans="1:14" ht="12.75" customHeight="1" thickBot="1">
      <c r="A12" s="10" t="s">
        <v>28</v>
      </c>
      <c r="B12" s="2" t="s">
        <v>16</v>
      </c>
      <c r="C12" s="2" t="s">
        <v>11</v>
      </c>
      <c r="D12" s="3">
        <v>42</v>
      </c>
      <c r="E12" s="4">
        <v>3.2788586626599998</v>
      </c>
      <c r="F12" s="5">
        <v>128093.352965438</v>
      </c>
      <c r="G12" s="4">
        <v>4.3053840006049997</v>
      </c>
      <c r="H12" s="6" t="s">
        <v>31</v>
      </c>
      <c r="I12" s="1">
        <v>3</v>
      </c>
      <c r="J12" s="1">
        <v>5.6</v>
      </c>
      <c r="K12" s="16" t="s">
        <v>13</v>
      </c>
      <c r="L12" s="22">
        <f>(Table1[[#This Row],[Age Adjusted Rate]]-$N$8)/SQRT($N$12^2 + (SQRT(Table1[[#This Row],[Case Count]])/Table1[[#This Row],[Census Population]])^2)</f>
        <v>-6.988197328153016E-2</v>
      </c>
      <c r="M12" s="22" t="s">
        <v>146</v>
      </c>
      <c r="N12">
        <f>(SUM(J3:J113)-SUM(I3:I113))/(2*1.96)</f>
        <v>43.265306122448983</v>
      </c>
    </row>
    <row r="13" spans="1:14" ht="12.75" customHeight="1" thickBot="1">
      <c r="A13" s="10" t="s">
        <v>28</v>
      </c>
      <c r="B13" s="2" t="s">
        <v>18</v>
      </c>
      <c r="C13" s="2" t="s">
        <v>11</v>
      </c>
      <c r="D13" s="3">
        <v>33</v>
      </c>
      <c r="E13" s="4">
        <v>2.5882110512569998</v>
      </c>
      <c r="F13" s="5">
        <v>127501.194247551</v>
      </c>
      <c r="G13" s="4">
        <v>3.1868675605329999</v>
      </c>
      <c r="H13" s="6" t="s">
        <v>32</v>
      </c>
      <c r="I13" s="1">
        <v>2.1</v>
      </c>
      <c r="J13" s="1">
        <v>4.3</v>
      </c>
      <c r="K13" s="16" t="s">
        <v>13</v>
      </c>
      <c r="L13" s="22">
        <f>(Table1[[#This Row],[Age Adjusted Rate]]-$N$8)/SQRT($N$12^2 + (SQRT(Table1[[#This Row],[Case Count]])/Table1[[#This Row],[Census Population]])^2)</f>
        <v>-9.5734475905831687E-2</v>
      </c>
      <c r="M13" s="22" t="s">
        <v>146</v>
      </c>
    </row>
    <row r="14" spans="1:14" ht="12.75" customHeight="1" thickBot="1">
      <c r="A14" s="10" t="s">
        <v>28</v>
      </c>
      <c r="B14" s="2" t="s">
        <v>20</v>
      </c>
      <c r="C14" s="2" t="s">
        <v>11</v>
      </c>
      <c r="D14" s="3">
        <v>29</v>
      </c>
      <c r="E14" s="4">
        <v>2.275350676685</v>
      </c>
      <c r="F14" s="5">
        <v>127452.881426812</v>
      </c>
      <c r="G14" s="4">
        <v>2.8622943780560002</v>
      </c>
      <c r="H14" s="6" t="s">
        <v>33</v>
      </c>
      <c r="I14" s="1">
        <v>1.8</v>
      </c>
      <c r="J14" s="1">
        <v>3.9</v>
      </c>
      <c r="K14" s="16" t="s">
        <v>13</v>
      </c>
      <c r="L14" s="22">
        <f>(Table1[[#This Row],[Age Adjusted Rate]]-$N$8)/SQRT($N$12^2 + (SQRT(Table1[[#This Row],[Case Count]])/Table1[[#This Row],[Census Population]])^2)</f>
        <v>-0.10323640323667067</v>
      </c>
      <c r="M14" s="22" t="s">
        <v>146</v>
      </c>
    </row>
    <row r="15" spans="1:14" ht="12.75" customHeight="1" thickBot="1">
      <c r="A15" s="10" t="s">
        <v>28</v>
      </c>
      <c r="B15" s="2" t="s">
        <v>22</v>
      </c>
      <c r="C15" s="2" t="s">
        <v>11</v>
      </c>
      <c r="D15" s="3">
        <v>37</v>
      </c>
      <c r="E15" s="4">
        <v>2.9208692403900001</v>
      </c>
      <c r="F15" s="5">
        <v>126674.61962470099</v>
      </c>
      <c r="G15" s="4">
        <v>3.3557954839340001</v>
      </c>
      <c r="H15" s="6" t="s">
        <v>34</v>
      </c>
      <c r="I15" s="1">
        <v>2.2999999999999998</v>
      </c>
      <c r="J15" s="1">
        <v>4.4000000000000004</v>
      </c>
      <c r="K15" s="16" t="s">
        <v>13</v>
      </c>
      <c r="L15" s="22">
        <f>(Table1[[#This Row],[Age Adjusted Rate]]-$N$8)/SQRT($N$12^2 + (SQRT(Table1[[#This Row],[Case Count]])/Table1[[#This Row],[Census Population]])^2)</f>
        <v>-9.1830009751747321E-2</v>
      </c>
      <c r="M15" s="22" t="s">
        <v>146</v>
      </c>
    </row>
    <row r="16" spans="1:14" ht="12.75" customHeight="1" thickBot="1">
      <c r="A16" s="10" t="s">
        <v>28</v>
      </c>
      <c r="B16" s="2" t="s">
        <v>24</v>
      </c>
      <c r="C16" s="2" t="s">
        <v>11</v>
      </c>
      <c r="D16" s="3">
        <v>11</v>
      </c>
      <c r="E16" s="4">
        <v>0.85254134821299998</v>
      </c>
      <c r="F16" s="5">
        <v>129026.000006288</v>
      </c>
      <c r="G16" s="4">
        <v>0.83745220000599996</v>
      </c>
      <c r="H16" s="6" t="s">
        <v>35</v>
      </c>
      <c r="I16" s="1">
        <v>0.3</v>
      </c>
      <c r="J16" s="1">
        <v>1.3</v>
      </c>
      <c r="K16" s="16" t="s">
        <v>13</v>
      </c>
      <c r="L16" s="22">
        <f>(Table1[[#This Row],[Age Adjusted Rate]]-$N$8)/SQRT($N$12^2 + (SQRT(Table1[[#This Row],[Case Count]])/Table1[[#This Row],[Census Population]])^2)</f>
        <v>-0.15003700074822643</v>
      </c>
      <c r="M16" s="22" t="s">
        <v>146</v>
      </c>
    </row>
    <row r="17" spans="1:13" ht="12.75" customHeight="1" thickBot="1">
      <c r="A17" s="10" t="s">
        <v>28</v>
      </c>
      <c r="B17" s="2" t="s">
        <v>26</v>
      </c>
      <c r="C17" s="2" t="s">
        <v>11</v>
      </c>
      <c r="D17" s="3">
        <v>25</v>
      </c>
      <c r="E17" s="4">
        <v>1.9375939732130001</v>
      </c>
      <c r="F17" s="5">
        <v>129026.000006288</v>
      </c>
      <c r="G17" s="4">
        <v>2.2683226927910001</v>
      </c>
      <c r="H17" s="6" t="s">
        <v>36</v>
      </c>
      <c r="I17" s="1">
        <v>1.4</v>
      </c>
      <c r="J17" s="1">
        <v>3.2</v>
      </c>
      <c r="K17" s="16" t="s">
        <v>13</v>
      </c>
      <c r="L17" s="22">
        <f>(Table1[[#This Row],[Age Adjusted Rate]]-$N$8)/SQRT($N$12^2 + (SQRT(Table1[[#This Row],[Case Count]])/Table1[[#This Row],[Census Population]])^2)</f>
        <v>-0.11696499407534515</v>
      </c>
      <c r="M17" s="22" t="s">
        <v>146</v>
      </c>
    </row>
    <row r="18" spans="1:13" ht="12.75" hidden="1" customHeight="1" thickBot="1">
      <c r="A18" s="10" t="s">
        <v>37</v>
      </c>
      <c r="B18" s="7" t="s">
        <v>10</v>
      </c>
      <c r="C18" s="7" t="s">
        <v>11</v>
      </c>
      <c r="D18" s="3">
        <v>833</v>
      </c>
      <c r="E18" s="4">
        <v>14.922520826477999</v>
      </c>
      <c r="F18" s="3">
        <v>558216.67778941197</v>
      </c>
      <c r="G18" s="4">
        <v>14.483435688027001</v>
      </c>
      <c r="H18" s="6" t="s">
        <v>38</v>
      </c>
      <c r="I18" s="1">
        <v>13.5</v>
      </c>
      <c r="J18" s="1">
        <v>15.5</v>
      </c>
      <c r="K18" s="17" t="s">
        <v>39</v>
      </c>
      <c r="L18" s="1">
        <f>(Table1[[#This Row],[Age Adjusted Rate]]-$N$8)/SQRT($N$12^2 + (SQRT(Table1[[#This Row],[Case Count]])/Table1[[#This Row],[Census Population]])^2)</f>
        <v>0.16536544779551057</v>
      </c>
      <c r="M18" s="1"/>
    </row>
    <row r="19" spans="1:13" ht="12.75" customHeight="1" thickBot="1">
      <c r="A19" s="10" t="s">
        <v>37</v>
      </c>
      <c r="B19" s="2" t="s">
        <v>14</v>
      </c>
      <c r="C19" s="2" t="s">
        <v>11</v>
      </c>
      <c r="D19" s="3">
        <v>709</v>
      </c>
      <c r="E19" s="4">
        <v>12.643998443406</v>
      </c>
      <c r="F19" s="5">
        <v>560740.34109814698</v>
      </c>
      <c r="G19" s="4">
        <v>12.166274384607</v>
      </c>
      <c r="H19" s="6" t="s">
        <v>40</v>
      </c>
      <c r="I19" s="1">
        <v>11.3</v>
      </c>
      <c r="J19" s="1">
        <v>13.1</v>
      </c>
      <c r="K19" s="18" t="s">
        <v>39</v>
      </c>
      <c r="L19" s="22">
        <f>(Table1[[#This Row],[Age Adjusted Rate]]-$N$8)/SQRT($N$12^2 + (SQRT(Table1[[#This Row],[Case Count]])/Table1[[#This Row],[Census Population]])^2)</f>
        <v>0.11180841766934434</v>
      </c>
      <c r="M19" s="22" t="s">
        <v>146</v>
      </c>
    </row>
    <row r="20" spans="1:13" ht="12.75" customHeight="1" thickBot="1">
      <c r="A20" s="10" t="s">
        <v>37</v>
      </c>
      <c r="B20" s="2" t="s">
        <v>16</v>
      </c>
      <c r="C20" s="2" t="s">
        <v>11</v>
      </c>
      <c r="D20" s="3">
        <v>488</v>
      </c>
      <c r="E20" s="4">
        <v>8.6828345257309998</v>
      </c>
      <c r="F20" s="5">
        <v>562028.44653300196</v>
      </c>
      <c r="G20" s="4">
        <v>9.0721754843760003</v>
      </c>
      <c r="H20" s="6" t="s">
        <v>41</v>
      </c>
      <c r="I20" s="1">
        <v>8.3000000000000007</v>
      </c>
      <c r="J20" s="1">
        <v>9.9</v>
      </c>
      <c r="K20" s="18" t="s">
        <v>39</v>
      </c>
      <c r="L20" s="22">
        <f>(Table1[[#This Row],[Age Adjusted Rate]]-$N$8)/SQRT($N$12^2 + (SQRT(Table1[[#This Row],[Case Count]])/Table1[[#This Row],[Census Population]])^2)</f>
        <v>4.0293867616886095E-2</v>
      </c>
      <c r="M20" s="22" t="s">
        <v>146</v>
      </c>
    </row>
    <row r="21" spans="1:13" ht="12.75" customHeight="1" thickBot="1">
      <c r="A21" s="10" t="s">
        <v>37</v>
      </c>
      <c r="B21" s="2" t="s">
        <v>18</v>
      </c>
      <c r="C21" s="2" t="s">
        <v>11</v>
      </c>
      <c r="D21" s="3">
        <v>516</v>
      </c>
      <c r="E21" s="4">
        <v>9.1201749990989995</v>
      </c>
      <c r="F21" s="5">
        <v>565778.61724247504</v>
      </c>
      <c r="G21" s="4">
        <v>9.5640971187940007</v>
      </c>
      <c r="H21" s="6" t="s">
        <v>42</v>
      </c>
      <c r="I21" s="1">
        <v>8.6999999999999993</v>
      </c>
      <c r="J21" s="1">
        <v>10.4</v>
      </c>
      <c r="K21" s="18" t="s">
        <v>39</v>
      </c>
      <c r="L21" s="22">
        <f>(Table1[[#This Row],[Age Adjusted Rate]]-$N$8)/SQRT($N$12^2 + (SQRT(Table1[[#This Row],[Case Count]])/Table1[[#This Row],[Census Population]])^2)</f>
        <v>5.1663754450126713E-2</v>
      </c>
      <c r="M21" s="22" t="s">
        <v>146</v>
      </c>
    </row>
    <row r="22" spans="1:13" ht="12.75" customHeight="1" thickBot="1">
      <c r="A22" s="10" t="s">
        <v>37</v>
      </c>
      <c r="B22" s="2" t="s">
        <v>20</v>
      </c>
      <c r="C22" s="2" t="s">
        <v>11</v>
      </c>
      <c r="D22" s="3">
        <v>503</v>
      </c>
      <c r="E22" s="4">
        <v>8.8196890637729997</v>
      </c>
      <c r="F22" s="5">
        <v>570314.890199502</v>
      </c>
      <c r="G22" s="4">
        <v>9.0968989794940001</v>
      </c>
      <c r="H22" s="6" t="s">
        <v>41</v>
      </c>
      <c r="I22" s="1">
        <v>8.3000000000000007</v>
      </c>
      <c r="J22" s="1">
        <v>9.9</v>
      </c>
      <c r="K22" s="18" t="s">
        <v>39</v>
      </c>
      <c r="L22" s="22">
        <f>(Table1[[#This Row],[Age Adjusted Rate]]-$N$8)/SQRT($N$12^2 + (SQRT(Table1[[#This Row],[Case Count]])/Table1[[#This Row],[Census Population]])^2)</f>
        <v>4.0865306890839607E-2</v>
      </c>
      <c r="M22" s="22" t="s">
        <v>146</v>
      </c>
    </row>
    <row r="23" spans="1:13" ht="12.75" customHeight="1" thickBot="1">
      <c r="A23" s="10" t="s">
        <v>37</v>
      </c>
      <c r="B23" s="2" t="s">
        <v>22</v>
      </c>
      <c r="C23" s="2" t="s">
        <v>11</v>
      </c>
      <c r="D23" s="3">
        <v>496</v>
      </c>
      <c r="E23" s="4">
        <v>8.6828043232019994</v>
      </c>
      <c r="F23" s="5">
        <v>571244.01464926102</v>
      </c>
      <c r="G23" s="4">
        <v>8.7381067134069994</v>
      </c>
      <c r="H23" s="6" t="s">
        <v>43</v>
      </c>
      <c r="I23" s="1">
        <v>8</v>
      </c>
      <c r="J23" s="1">
        <v>9.5</v>
      </c>
      <c r="K23" s="18" t="s">
        <v>39</v>
      </c>
      <c r="L23" s="22">
        <f>(Table1[[#This Row],[Age Adjusted Rate]]-$N$8)/SQRT($N$12^2 + (SQRT(Table1[[#This Row],[Case Count]])/Table1[[#This Row],[Census Population]])^2)</f>
        <v>3.2572466778455045E-2</v>
      </c>
      <c r="M23" s="22" t="s">
        <v>146</v>
      </c>
    </row>
    <row r="24" spans="1:13" ht="12.75" customHeight="1" thickBot="1">
      <c r="A24" s="10" t="s">
        <v>37</v>
      </c>
      <c r="B24" s="2" t="s">
        <v>24</v>
      </c>
      <c r="C24" s="2" t="s">
        <v>11</v>
      </c>
      <c r="D24" s="3">
        <v>264</v>
      </c>
      <c r="E24" s="4">
        <v>4.558011049858</v>
      </c>
      <c r="F24" s="5">
        <v>579199.99998283305</v>
      </c>
      <c r="G24" s="4">
        <v>4.5829744381489999</v>
      </c>
      <c r="H24" s="6" t="s">
        <v>44</v>
      </c>
      <c r="I24" s="1">
        <v>4</v>
      </c>
      <c r="J24" s="1">
        <v>5.0999999999999996</v>
      </c>
      <c r="K24" s="18" t="s">
        <v>39</v>
      </c>
      <c r="L24" s="22">
        <f>(Table1[[#This Row],[Age Adjusted Rate]]-$N$8)/SQRT($N$12^2 + (SQRT(Table1[[#This Row],[Case Count]])/Table1[[#This Row],[Census Population]])^2)</f>
        <v>-6.3465967885500449E-2</v>
      </c>
      <c r="M24" s="22" t="s">
        <v>146</v>
      </c>
    </row>
    <row r="25" spans="1:13" ht="12.75" customHeight="1" thickBot="1">
      <c r="A25" s="10" t="s">
        <v>37</v>
      </c>
      <c r="B25" s="2" t="s">
        <v>26</v>
      </c>
      <c r="C25" s="2" t="s">
        <v>11</v>
      </c>
      <c r="D25" s="3">
        <v>259</v>
      </c>
      <c r="E25" s="4">
        <v>4.4716850830050001</v>
      </c>
      <c r="F25" s="5">
        <v>579199.99998283305</v>
      </c>
      <c r="G25" s="4">
        <v>4.6023787074670004</v>
      </c>
      <c r="H25" s="6" t="s">
        <v>45</v>
      </c>
      <c r="I25" s="1">
        <v>4</v>
      </c>
      <c r="J25" s="1">
        <v>5.2</v>
      </c>
      <c r="K25" s="19" t="s">
        <v>46</v>
      </c>
      <c r="L25" s="22">
        <f>(Table1[[#This Row],[Age Adjusted Rate]]-$N$8)/SQRT($N$12^2 + (SQRT(Table1[[#This Row],[Case Count]])/Table1[[#This Row],[Census Population]])^2)</f>
        <v>-6.301747298145266E-2</v>
      </c>
      <c r="M25" s="22" t="s">
        <v>146</v>
      </c>
    </row>
    <row r="26" spans="1:13" ht="12.75" hidden="1" customHeight="1" thickBot="1">
      <c r="A26" s="10" t="s">
        <v>47</v>
      </c>
      <c r="B26" s="7" t="s">
        <v>10</v>
      </c>
      <c r="C26" s="7" t="s">
        <v>11</v>
      </c>
      <c r="D26" s="8" t="s">
        <v>48</v>
      </c>
      <c r="E26" s="8" t="s">
        <v>48</v>
      </c>
      <c r="F26" s="3">
        <v>17306.605723952402</v>
      </c>
      <c r="G26" s="8" t="s">
        <v>48</v>
      </c>
      <c r="H26" s="9" t="s">
        <v>48</v>
      </c>
      <c r="I26" s="1" t="s">
        <v>48</v>
      </c>
      <c r="J26" s="1"/>
      <c r="K26" s="19" t="s">
        <v>49</v>
      </c>
      <c r="L26" s="1" t="e">
        <f>(Table1[[#This Row],[Age Adjusted Rate]]-$N$8)/SQRT($N$12^2 + (SQRT(Table1[[#This Row],[Case Count]])/Table1[[#This Row],[Census Population]])^2)</f>
        <v>#VALUE!</v>
      </c>
      <c r="M26" s="1"/>
    </row>
    <row r="27" spans="1:13" ht="12.75" hidden="1" customHeight="1" thickBot="1">
      <c r="A27" s="10" t="s">
        <v>47</v>
      </c>
      <c r="B27" s="2" t="s">
        <v>14</v>
      </c>
      <c r="C27" s="2" t="s">
        <v>11</v>
      </c>
      <c r="D27" s="8" t="s">
        <v>48</v>
      </c>
      <c r="E27" s="8" t="s">
        <v>48</v>
      </c>
      <c r="F27" s="5">
        <v>17287.325483000001</v>
      </c>
      <c r="G27" s="8" t="s">
        <v>48</v>
      </c>
      <c r="H27" s="9" t="s">
        <v>48</v>
      </c>
      <c r="I27" s="1" t="s">
        <v>48</v>
      </c>
      <c r="J27" s="1"/>
      <c r="K27" s="19" t="s">
        <v>49</v>
      </c>
      <c r="L27" s="1" t="e">
        <f>(Table1[[#This Row],[Age Adjusted Rate]]-$N$8)/SQRT($N$12^2 + (SQRT(Table1[[#This Row],[Case Count]])/Table1[[#This Row],[Census Population]])^2)</f>
        <v>#VALUE!</v>
      </c>
      <c r="M27" s="1"/>
    </row>
    <row r="28" spans="1:13" ht="12.75" hidden="1" customHeight="1" thickBot="1">
      <c r="A28" s="10" t="s">
        <v>47</v>
      </c>
      <c r="B28" s="2" t="s">
        <v>16</v>
      </c>
      <c r="C28" s="2" t="s">
        <v>11</v>
      </c>
      <c r="D28" s="8" t="s">
        <v>48</v>
      </c>
      <c r="E28" s="8" t="s">
        <v>48</v>
      </c>
      <c r="F28" s="5">
        <v>17341.694241587</v>
      </c>
      <c r="G28" s="8" t="s">
        <v>48</v>
      </c>
      <c r="H28" s="9" t="s">
        <v>48</v>
      </c>
      <c r="I28" s="1" t="s">
        <v>48</v>
      </c>
      <c r="J28" s="1"/>
      <c r="K28" s="19" t="s">
        <v>49</v>
      </c>
      <c r="L28" s="1" t="e">
        <f>(Table1[[#This Row],[Age Adjusted Rate]]-$N$8)/SQRT($N$12^2 + (SQRT(Table1[[#This Row],[Case Count]])/Table1[[#This Row],[Census Population]])^2)</f>
        <v>#VALUE!</v>
      </c>
      <c r="M28" s="1"/>
    </row>
    <row r="29" spans="1:13" ht="12.75" hidden="1" customHeight="1" thickBot="1">
      <c r="A29" s="10" t="s">
        <v>47</v>
      </c>
      <c r="B29" s="2" t="s">
        <v>18</v>
      </c>
      <c r="C29" s="2" t="s">
        <v>11</v>
      </c>
      <c r="D29" s="8" t="s">
        <v>48</v>
      </c>
      <c r="E29" s="8" t="s">
        <v>48</v>
      </c>
      <c r="F29" s="5">
        <v>17353.787671198901</v>
      </c>
      <c r="G29" s="8" t="s">
        <v>48</v>
      </c>
      <c r="H29" s="9" t="s">
        <v>48</v>
      </c>
      <c r="I29" s="1" t="s">
        <v>48</v>
      </c>
      <c r="J29" s="1"/>
      <c r="K29" s="19" t="s">
        <v>49</v>
      </c>
      <c r="L29" s="1" t="e">
        <f>(Table1[[#This Row],[Age Adjusted Rate]]-$N$8)/SQRT($N$12^2 + (SQRT(Table1[[#This Row],[Case Count]])/Table1[[#This Row],[Census Population]])^2)</f>
        <v>#VALUE!</v>
      </c>
      <c r="M29" s="1"/>
    </row>
    <row r="30" spans="1:13" ht="12.75" hidden="1" customHeight="1" thickBot="1">
      <c r="A30" s="10" t="s">
        <v>47</v>
      </c>
      <c r="B30" s="2" t="s">
        <v>20</v>
      </c>
      <c r="C30" s="2" t="s">
        <v>11</v>
      </c>
      <c r="D30" s="8" t="s">
        <v>48</v>
      </c>
      <c r="E30" s="8" t="s">
        <v>48</v>
      </c>
      <c r="F30" s="5">
        <v>17507.7722104352</v>
      </c>
      <c r="G30" s="8" t="s">
        <v>48</v>
      </c>
      <c r="H30" s="9" t="s">
        <v>48</v>
      </c>
      <c r="I30" s="1" t="s">
        <v>48</v>
      </c>
      <c r="J30" s="1"/>
      <c r="K30" s="19" t="s">
        <v>49</v>
      </c>
      <c r="L30" s="1" t="e">
        <f>(Table1[[#This Row],[Age Adjusted Rate]]-$N$8)/SQRT($N$12^2 + (SQRT(Table1[[#This Row],[Case Count]])/Table1[[#This Row],[Census Population]])^2)</f>
        <v>#VALUE!</v>
      </c>
      <c r="M30" s="1"/>
    </row>
    <row r="31" spans="1:13" ht="12.75" hidden="1" customHeight="1" thickBot="1">
      <c r="A31" s="10" t="s">
        <v>47</v>
      </c>
      <c r="B31" s="2" t="s">
        <v>22</v>
      </c>
      <c r="C31" s="2" t="s">
        <v>11</v>
      </c>
      <c r="D31" s="8" t="s">
        <v>48</v>
      </c>
      <c r="E31" s="8" t="s">
        <v>48</v>
      </c>
      <c r="F31" s="5">
        <v>17528.582816007802</v>
      </c>
      <c r="G31" s="8" t="s">
        <v>48</v>
      </c>
      <c r="H31" s="9" t="s">
        <v>48</v>
      </c>
      <c r="I31" s="1" t="s">
        <v>48</v>
      </c>
      <c r="J31" s="1"/>
      <c r="K31" s="19" t="s">
        <v>49</v>
      </c>
      <c r="L31" s="1" t="e">
        <f>(Table1[[#This Row],[Age Adjusted Rate]]-$N$8)/SQRT($N$12^2 + (SQRT(Table1[[#This Row],[Case Count]])/Table1[[#This Row],[Census Population]])^2)</f>
        <v>#VALUE!</v>
      </c>
      <c r="M31" s="1"/>
    </row>
    <row r="32" spans="1:13" ht="12.75" hidden="1" customHeight="1" thickBot="1">
      <c r="A32" s="10" t="s">
        <v>47</v>
      </c>
      <c r="B32" s="2" t="s">
        <v>24</v>
      </c>
      <c r="C32" s="2" t="s">
        <v>11</v>
      </c>
      <c r="D32" s="3">
        <v>0</v>
      </c>
      <c r="E32" s="4">
        <v>0</v>
      </c>
      <c r="F32" s="5">
        <v>20599.9999795406</v>
      </c>
      <c r="G32" s="4">
        <v>0</v>
      </c>
      <c r="H32" s="6" t="s">
        <v>50</v>
      </c>
      <c r="I32" s="1">
        <v>0</v>
      </c>
      <c r="J32" s="1">
        <v>3.1</v>
      </c>
      <c r="K32" s="16" t="s">
        <v>13</v>
      </c>
      <c r="L32" s="1">
        <f>(Table1[[#This Row],[Age Adjusted Rate]]-$N$8)/SQRT($N$12^2 + (SQRT(Table1[[#This Row],[Case Count]])/Table1[[#This Row],[Census Population]])^2)</f>
        <v>-0.16939320725782556</v>
      </c>
      <c r="M32" s="1"/>
    </row>
    <row r="33" spans="1:13" ht="12.75" hidden="1" customHeight="1" thickBot="1">
      <c r="A33" s="10" t="s">
        <v>47</v>
      </c>
      <c r="B33" s="2" t="s">
        <v>26</v>
      </c>
      <c r="C33" s="2" t="s">
        <v>11</v>
      </c>
      <c r="D33" s="8" t="s">
        <v>48</v>
      </c>
      <c r="E33" s="8" t="s">
        <v>48</v>
      </c>
      <c r="F33" s="5">
        <v>20599.9999795406</v>
      </c>
      <c r="G33" s="8" t="s">
        <v>48</v>
      </c>
      <c r="H33" s="9" t="s">
        <v>48</v>
      </c>
      <c r="I33" s="1" t="s">
        <v>48</v>
      </c>
      <c r="J33" s="1"/>
      <c r="K33" s="19" t="s">
        <v>49</v>
      </c>
      <c r="L33" s="1" t="e">
        <f>(Table1[[#This Row],[Age Adjusted Rate]]-$N$8)/SQRT($N$12^2 + (SQRT(Table1[[#This Row],[Case Count]])/Table1[[#This Row],[Census Population]])^2)</f>
        <v>#VALUE!</v>
      </c>
      <c r="M33" s="1"/>
    </row>
    <row r="34" spans="1:13" ht="12.75" hidden="1" customHeight="1" thickBot="1">
      <c r="A34" s="10" t="s">
        <v>51</v>
      </c>
      <c r="B34" s="7" t="s">
        <v>10</v>
      </c>
      <c r="C34" s="7" t="s">
        <v>11</v>
      </c>
      <c r="D34" s="3">
        <v>1201</v>
      </c>
      <c r="E34" s="4">
        <v>15.496317173197999</v>
      </c>
      <c r="F34" s="3">
        <v>775022.856448206</v>
      </c>
      <c r="G34" s="4">
        <v>15.296059452754999</v>
      </c>
      <c r="H34" s="6" t="s">
        <v>52</v>
      </c>
      <c r="I34" s="1">
        <v>14.4</v>
      </c>
      <c r="J34" s="1">
        <v>16.2</v>
      </c>
      <c r="K34" s="17" t="s">
        <v>39</v>
      </c>
      <c r="L34" s="1">
        <f>(Table1[[#This Row],[Age Adjusted Rate]]-$N$8)/SQRT($N$12^2 + (SQRT(Table1[[#This Row],[Case Count]])/Table1[[#This Row],[Census Population]])^2)</f>
        <v>0.18414778952745103</v>
      </c>
      <c r="M34" s="1"/>
    </row>
    <row r="35" spans="1:13" ht="12.75" customHeight="1" thickBot="1">
      <c r="A35" s="10" t="s">
        <v>51</v>
      </c>
      <c r="B35" s="2" t="s">
        <v>14</v>
      </c>
      <c r="C35" s="2" t="s">
        <v>11</v>
      </c>
      <c r="D35" s="3">
        <v>1022</v>
      </c>
      <c r="E35" s="4">
        <v>13.069015855372999</v>
      </c>
      <c r="F35" s="5">
        <v>782002.26498291595</v>
      </c>
      <c r="G35" s="4">
        <v>13.157291969856001</v>
      </c>
      <c r="H35" s="6" t="s">
        <v>53</v>
      </c>
      <c r="I35" s="1">
        <v>12.4</v>
      </c>
      <c r="J35" s="1">
        <v>14</v>
      </c>
      <c r="K35" s="18" t="s">
        <v>39</v>
      </c>
      <c r="L35" s="22">
        <f>(Table1[[#This Row],[Age Adjusted Rate]]-$N$8)/SQRT($N$12^2 + (SQRT(Table1[[#This Row],[Case Count]])/Table1[[#This Row],[Census Population]])^2)</f>
        <v>0.13471401280010675</v>
      </c>
      <c r="M35" s="22" t="s">
        <v>146</v>
      </c>
    </row>
    <row r="36" spans="1:13" ht="12.75" customHeight="1" thickBot="1">
      <c r="A36" s="10" t="s">
        <v>51</v>
      </c>
      <c r="B36" s="2" t="s">
        <v>16</v>
      </c>
      <c r="C36" s="2" t="s">
        <v>11</v>
      </c>
      <c r="D36" s="3">
        <v>749</v>
      </c>
      <c r="E36" s="4">
        <v>9.5313049089130004</v>
      </c>
      <c r="F36" s="5">
        <v>785831.53844923701</v>
      </c>
      <c r="G36" s="4">
        <v>10.195242805584</v>
      </c>
      <c r="H36" s="6" t="s">
        <v>54</v>
      </c>
      <c r="I36" s="1">
        <v>9.5</v>
      </c>
      <c r="J36" s="1">
        <v>10.9</v>
      </c>
      <c r="K36" s="18" t="s">
        <v>39</v>
      </c>
      <c r="L36" s="22">
        <f>(Table1[[#This Row],[Age Adjusted Rate]]-$N$8)/SQRT($N$12^2 + (SQRT(Table1[[#This Row],[Case Count]])/Table1[[#This Row],[Census Population]])^2)</f>
        <v>6.625155570140577E-2</v>
      </c>
      <c r="M36" s="22" t="s">
        <v>146</v>
      </c>
    </row>
    <row r="37" spans="1:13" ht="12.75" customHeight="1" thickBot="1">
      <c r="A37" s="10" t="s">
        <v>51</v>
      </c>
      <c r="B37" s="2" t="s">
        <v>18</v>
      </c>
      <c r="C37" s="2" t="s">
        <v>11</v>
      </c>
      <c r="D37" s="3">
        <v>667</v>
      </c>
      <c r="E37" s="4">
        <v>8.4344277438400006</v>
      </c>
      <c r="F37" s="5">
        <v>790806.46637481602</v>
      </c>
      <c r="G37" s="4">
        <v>8.8502692204609996</v>
      </c>
      <c r="H37" s="6" t="s">
        <v>55</v>
      </c>
      <c r="I37" s="1">
        <v>8.1999999999999993</v>
      </c>
      <c r="J37" s="1">
        <v>9.5</v>
      </c>
      <c r="K37" s="19" t="s">
        <v>46</v>
      </c>
      <c r="L37" s="22">
        <f>(Table1[[#This Row],[Age Adjusted Rate]]-$N$8)/SQRT($N$12^2 + (SQRT(Table1[[#This Row],[Case Count]])/Table1[[#This Row],[Census Population]])^2)</f>
        <v>3.5164902083008251E-2</v>
      </c>
      <c r="M37" s="22" t="s">
        <v>146</v>
      </c>
    </row>
    <row r="38" spans="1:13" ht="12.75" customHeight="1" thickBot="1">
      <c r="A38" s="10" t="s">
        <v>51</v>
      </c>
      <c r="B38" s="2" t="s">
        <v>20</v>
      </c>
      <c r="C38" s="2" t="s">
        <v>11</v>
      </c>
      <c r="D38" s="3">
        <v>683</v>
      </c>
      <c r="E38" s="4">
        <v>8.5806854094370006</v>
      </c>
      <c r="F38" s="5">
        <v>795973.71003578498</v>
      </c>
      <c r="G38" s="4">
        <v>8.8768714838180003</v>
      </c>
      <c r="H38" s="6" t="s">
        <v>55</v>
      </c>
      <c r="I38" s="1">
        <v>8.1999999999999993</v>
      </c>
      <c r="J38" s="1">
        <v>9.5</v>
      </c>
      <c r="K38" s="18" t="s">
        <v>39</v>
      </c>
      <c r="L38" s="22">
        <f>(Table1[[#This Row],[Age Adjusted Rate]]-$N$8)/SQRT($N$12^2 + (SQRT(Table1[[#This Row],[Case Count]])/Table1[[#This Row],[Census Population]])^2)</f>
        <v>3.5779765717202795E-2</v>
      </c>
      <c r="M38" s="22" t="s">
        <v>146</v>
      </c>
    </row>
    <row r="39" spans="1:13" ht="12.75" customHeight="1" thickBot="1">
      <c r="A39" s="10" t="s">
        <v>51</v>
      </c>
      <c r="B39" s="2" t="s">
        <v>22</v>
      </c>
      <c r="C39" s="2" t="s">
        <v>11</v>
      </c>
      <c r="D39" s="3">
        <v>611</v>
      </c>
      <c r="E39" s="4">
        <v>7.6601351008789997</v>
      </c>
      <c r="F39" s="5">
        <v>797636.06248906604</v>
      </c>
      <c r="G39" s="4">
        <v>8.0096023843140003</v>
      </c>
      <c r="H39" s="6" t="s">
        <v>56</v>
      </c>
      <c r="I39" s="1">
        <v>7.4</v>
      </c>
      <c r="J39" s="1">
        <v>8.6</v>
      </c>
      <c r="K39" s="18" t="s">
        <v>39</v>
      </c>
      <c r="L39" s="22">
        <f>(Table1[[#This Row],[Age Adjusted Rate]]-$N$8)/SQRT($N$12^2 + (SQRT(Table1[[#This Row],[Case Count]])/Table1[[#This Row],[Census Population]])^2)</f>
        <v>1.5734395021126047E-2</v>
      </c>
      <c r="M39" s="22" t="s">
        <v>146</v>
      </c>
    </row>
    <row r="40" spans="1:13" ht="13.5" thickBot="1">
      <c r="A40" s="10" t="s">
        <v>51</v>
      </c>
      <c r="B40" s="2" t="s">
        <v>24</v>
      </c>
      <c r="C40" s="2" t="s">
        <v>11</v>
      </c>
      <c r="D40" s="3">
        <v>350</v>
      </c>
      <c r="E40" s="4">
        <v>4.3219000497230002</v>
      </c>
      <c r="F40" s="5">
        <v>809829.001071929</v>
      </c>
      <c r="G40" s="4">
        <v>4.4263929036440004</v>
      </c>
      <c r="H40" s="6" t="s">
        <v>57</v>
      </c>
      <c r="I40" s="1">
        <v>4</v>
      </c>
      <c r="J40" s="1">
        <v>4.9000000000000004</v>
      </c>
      <c r="K40" s="18" t="s">
        <v>39</v>
      </c>
      <c r="L40" s="22">
        <f>(Table1[[#This Row],[Age Adjusted Rate]]-$N$8)/SQRT($N$12^2 + (SQRT(Table1[[#This Row],[Case Count]])/Table1[[#This Row],[Census Population]])^2)</f>
        <v>-6.7085069390572613E-2</v>
      </c>
      <c r="M40" s="22" t="s">
        <v>146</v>
      </c>
    </row>
    <row r="41" spans="1:13" ht="13.5" thickBot="1">
      <c r="A41" s="10" t="s">
        <v>51</v>
      </c>
      <c r="B41" s="2" t="s">
        <v>26</v>
      </c>
      <c r="C41" s="2" t="s">
        <v>11</v>
      </c>
      <c r="D41" s="3">
        <v>383</v>
      </c>
      <c r="E41" s="4">
        <v>4.7293934829820001</v>
      </c>
      <c r="F41" s="5">
        <v>809829.001071929</v>
      </c>
      <c r="G41" s="4">
        <v>5.0986771229650003</v>
      </c>
      <c r="H41" s="6" t="s">
        <v>58</v>
      </c>
      <c r="I41" s="1">
        <v>4.5999999999999996</v>
      </c>
      <c r="J41" s="1">
        <v>5.6</v>
      </c>
      <c r="K41" s="19" t="s">
        <v>46</v>
      </c>
      <c r="L41" s="22">
        <f>(Table1[[#This Row],[Age Adjusted Rate]]-$N$8)/SQRT($N$12^2 + (SQRT(Table1[[#This Row],[Case Count]])/Table1[[#This Row],[Census Population]])^2)</f>
        <v>-5.1546424698720832E-2</v>
      </c>
      <c r="M41" s="22" t="s">
        <v>146</v>
      </c>
    </row>
    <row r="42" spans="1:13" ht="13.5" hidden="1" thickBot="1">
      <c r="A42" s="10" t="s">
        <v>59</v>
      </c>
      <c r="B42" s="7" t="s">
        <v>10</v>
      </c>
      <c r="C42" s="7" t="s">
        <v>11</v>
      </c>
      <c r="D42" s="3">
        <v>68</v>
      </c>
      <c r="E42" s="4">
        <v>9.4906083314980005</v>
      </c>
      <c r="F42" s="3">
        <v>71649.780103466503</v>
      </c>
      <c r="G42" s="4">
        <v>9.1178568964930005</v>
      </c>
      <c r="H42" s="6" t="s">
        <v>60</v>
      </c>
      <c r="I42" s="1">
        <v>7</v>
      </c>
      <c r="J42" s="1">
        <v>11.3</v>
      </c>
      <c r="K42" s="16" t="s">
        <v>13</v>
      </c>
      <c r="L42" s="1">
        <f>(Table1[[#This Row],[Age Adjusted Rate]]-$N$8)/SQRT($N$12^2 + (SQRT(Table1[[#This Row],[Case Count]])/Table1[[#This Row],[Census Population]])^2)</f>
        <v>4.1349711576064443E-2</v>
      </c>
      <c r="M42" s="1"/>
    </row>
    <row r="43" spans="1:13" ht="13.5" thickBot="1">
      <c r="A43" s="10" t="s">
        <v>59</v>
      </c>
      <c r="B43" s="2" t="s">
        <v>14</v>
      </c>
      <c r="C43" s="2" t="s">
        <v>11</v>
      </c>
      <c r="D43" s="3">
        <v>65</v>
      </c>
      <c r="E43" s="4">
        <v>9.1079325623909995</v>
      </c>
      <c r="F43" s="5">
        <v>71366.360647416703</v>
      </c>
      <c r="G43" s="4">
        <v>9.5450966724450002</v>
      </c>
      <c r="H43" s="6" t="s">
        <v>61</v>
      </c>
      <c r="I43" s="1">
        <v>7.2</v>
      </c>
      <c r="J43" s="1">
        <v>11.9</v>
      </c>
      <c r="K43" s="19" t="s">
        <v>46</v>
      </c>
      <c r="L43" s="22">
        <f>(Table1[[#This Row],[Age Adjusted Rate]]-$N$8)/SQRT($N$12^2 + (SQRT(Table1[[#This Row],[Case Count]])/Table1[[#This Row],[Census Population]])^2)</f>
        <v>5.1224593190021019E-2</v>
      </c>
      <c r="M43" s="22" t="s">
        <v>146</v>
      </c>
    </row>
    <row r="44" spans="1:13" ht="13.5" thickBot="1">
      <c r="A44" s="10" t="s">
        <v>59</v>
      </c>
      <c r="B44" s="2" t="s">
        <v>16</v>
      </c>
      <c r="C44" s="2" t="s">
        <v>11</v>
      </c>
      <c r="D44" s="3">
        <v>53</v>
      </c>
      <c r="E44" s="4">
        <v>7.4224410735650004</v>
      </c>
      <c r="F44" s="5">
        <v>71405.080181447702</v>
      </c>
      <c r="G44" s="4">
        <v>7.6639599533789999</v>
      </c>
      <c r="H44" s="6" t="s">
        <v>62</v>
      </c>
      <c r="I44" s="1">
        <v>5.6</v>
      </c>
      <c r="J44" s="1">
        <v>9.6999999999999993</v>
      </c>
      <c r="K44" s="19" t="s">
        <v>46</v>
      </c>
      <c r="L44" s="22">
        <f>(Table1[[#This Row],[Age Adjusted Rate]]-$N$8)/SQRT($N$12^2 + (SQRT(Table1[[#This Row],[Case Count]])/Table1[[#This Row],[Census Population]])^2)</f>
        <v>7.7454897777996055E-3</v>
      </c>
      <c r="M44" s="22" t="s">
        <v>146</v>
      </c>
    </row>
    <row r="45" spans="1:13" ht="13.5" thickBot="1">
      <c r="A45" s="10" t="s">
        <v>59</v>
      </c>
      <c r="B45" s="2" t="s">
        <v>18</v>
      </c>
      <c r="C45" s="2" t="s">
        <v>11</v>
      </c>
      <c r="D45" s="3">
        <v>41</v>
      </c>
      <c r="E45" s="4">
        <v>5.7418077479990002</v>
      </c>
      <c r="F45" s="5">
        <v>71406.082891376704</v>
      </c>
      <c r="G45" s="4">
        <v>5.9219336846969997</v>
      </c>
      <c r="H45" s="6" t="s">
        <v>63</v>
      </c>
      <c r="I45" s="1">
        <v>4.0999999999999996</v>
      </c>
      <c r="J45" s="1">
        <v>7.7</v>
      </c>
      <c r="K45" s="16" t="s">
        <v>13</v>
      </c>
      <c r="L45" s="22">
        <f>(Table1[[#This Row],[Age Adjusted Rate]]-$N$8)/SQRT($N$12^2 + (SQRT(Table1[[#This Row],[Case Count]])/Table1[[#This Row],[Census Population]])^2)</f>
        <v>-3.2518324922777918E-2</v>
      </c>
      <c r="M45" s="22" t="s">
        <v>146</v>
      </c>
    </row>
    <row r="46" spans="1:13" ht="13.5" thickBot="1">
      <c r="A46" s="10" t="s">
        <v>59</v>
      </c>
      <c r="B46" s="2" t="s">
        <v>20</v>
      </c>
      <c r="C46" s="2" t="s">
        <v>11</v>
      </c>
      <c r="D46" s="3">
        <v>59</v>
      </c>
      <c r="E46" s="4">
        <v>8.236319131358</v>
      </c>
      <c r="F46" s="5">
        <v>71633.941156268804</v>
      </c>
      <c r="G46" s="4">
        <v>8.8986492379259996</v>
      </c>
      <c r="H46" s="6" t="s">
        <v>64</v>
      </c>
      <c r="I46" s="1">
        <v>6.6</v>
      </c>
      <c r="J46" s="1">
        <v>11.2</v>
      </c>
      <c r="K46" s="19" t="s">
        <v>46</v>
      </c>
      <c r="L46" s="22">
        <f>(Table1[[#This Row],[Age Adjusted Rate]]-$N$8)/SQRT($N$12^2 + (SQRT(Table1[[#This Row],[Case Count]])/Table1[[#This Row],[Census Population]])^2)</f>
        <v>3.6283119467711081E-2</v>
      </c>
      <c r="M46" s="22" t="s">
        <v>146</v>
      </c>
    </row>
    <row r="47" spans="1:13" ht="13.5" thickBot="1">
      <c r="A47" s="10" t="s">
        <v>59</v>
      </c>
      <c r="B47" s="2" t="s">
        <v>22</v>
      </c>
      <c r="C47" s="2" t="s">
        <v>11</v>
      </c>
      <c r="D47" s="3">
        <v>51</v>
      </c>
      <c r="E47" s="4">
        <v>7.156494043895</v>
      </c>
      <c r="F47" s="5">
        <v>71263.945288270595</v>
      </c>
      <c r="G47" s="4">
        <v>7.3089487817299998</v>
      </c>
      <c r="H47" s="6" t="s">
        <v>65</v>
      </c>
      <c r="I47" s="1">
        <v>5.3</v>
      </c>
      <c r="J47" s="1">
        <v>9.3000000000000007</v>
      </c>
      <c r="K47" s="19" t="s">
        <v>46</v>
      </c>
      <c r="L47" s="22">
        <f>(Table1[[#This Row],[Age Adjusted Rate]]-$N$8)/SQRT($N$12^2 + (SQRT(Table1[[#This Row],[Case Count]])/Table1[[#This Row],[Census Population]])^2)</f>
        <v>-4.5995711406491971E-4</v>
      </c>
      <c r="M47" s="22" t="s">
        <v>146</v>
      </c>
    </row>
    <row r="48" spans="1:13" ht="13.5" thickBot="1">
      <c r="A48" s="10" t="s">
        <v>59</v>
      </c>
      <c r="B48" s="2" t="s">
        <v>24</v>
      </c>
      <c r="C48" s="2" t="s">
        <v>11</v>
      </c>
      <c r="D48" s="3">
        <v>30</v>
      </c>
      <c r="E48" s="4">
        <v>4.2236269744010002</v>
      </c>
      <c r="F48" s="5">
        <v>71028.999913632797</v>
      </c>
      <c r="G48" s="4">
        <v>4.2239582785709997</v>
      </c>
      <c r="H48" s="6" t="s">
        <v>66</v>
      </c>
      <c r="I48" s="1">
        <v>2.7</v>
      </c>
      <c r="J48" s="1">
        <v>5.7</v>
      </c>
      <c r="K48" s="19" t="s">
        <v>46</v>
      </c>
      <c r="L48" s="22">
        <f>(Table1[[#This Row],[Age Adjusted Rate]]-$N$8)/SQRT($N$12^2 + (SQRT(Table1[[#This Row],[Case Count]])/Table1[[#This Row],[Census Population]])^2)</f>
        <v>-7.1763982894513967E-2</v>
      </c>
      <c r="M48" s="22" t="s">
        <v>146</v>
      </c>
    </row>
    <row r="49" spans="1:13" ht="13.5" thickBot="1">
      <c r="A49" s="10" t="s">
        <v>59</v>
      </c>
      <c r="B49" s="2" t="s">
        <v>26</v>
      </c>
      <c r="C49" s="2" t="s">
        <v>11</v>
      </c>
      <c r="D49" s="3">
        <v>22</v>
      </c>
      <c r="E49" s="4">
        <v>3.0973264478939999</v>
      </c>
      <c r="F49" s="5">
        <v>71028.999913632797</v>
      </c>
      <c r="G49" s="4">
        <v>3.8348327427540001</v>
      </c>
      <c r="H49" s="6" t="s">
        <v>67</v>
      </c>
      <c r="I49" s="1">
        <v>2.2000000000000002</v>
      </c>
      <c r="J49" s="1">
        <v>5.4</v>
      </c>
      <c r="K49" s="19" t="s">
        <v>46</v>
      </c>
      <c r="L49" s="22">
        <f>(Table1[[#This Row],[Age Adjusted Rate]]-$N$8)/SQRT($N$12^2 + (SQRT(Table1[[#This Row],[Case Count]])/Table1[[#This Row],[Census Population]])^2)</f>
        <v>-8.0757922165775861E-2</v>
      </c>
      <c r="M49" s="22" t="s">
        <v>146</v>
      </c>
    </row>
    <row r="50" spans="1:13" ht="13.5" hidden="1" thickBot="1">
      <c r="A50" s="10" t="s">
        <v>68</v>
      </c>
      <c r="B50" s="7" t="s">
        <v>10</v>
      </c>
      <c r="C50" s="7" t="s">
        <v>11</v>
      </c>
      <c r="D50" s="3">
        <v>806</v>
      </c>
      <c r="E50" s="4">
        <v>17.082433777401</v>
      </c>
      <c r="F50" s="3">
        <v>471829.72315471899</v>
      </c>
      <c r="G50" s="4">
        <v>16.572674446981999</v>
      </c>
      <c r="H50" s="6" t="s">
        <v>69</v>
      </c>
      <c r="I50" s="1">
        <v>15.4</v>
      </c>
      <c r="J50" s="1">
        <v>17.7</v>
      </c>
      <c r="K50" s="17" t="s">
        <v>39</v>
      </c>
      <c r="L50" s="1">
        <f>(Table1[[#This Row],[Age Adjusted Rate]]-$N$8)/SQRT($N$12^2 + (SQRT(Table1[[#This Row],[Case Count]])/Table1[[#This Row],[Census Population]])^2)</f>
        <v>0.21365445684674042</v>
      </c>
      <c r="M50" s="1"/>
    </row>
    <row r="51" spans="1:13" ht="13.5" thickBot="1">
      <c r="A51" s="10" t="s">
        <v>68</v>
      </c>
      <c r="B51" s="2" t="s">
        <v>14</v>
      </c>
      <c r="C51" s="2" t="s">
        <v>11</v>
      </c>
      <c r="D51" s="3">
        <v>798</v>
      </c>
      <c r="E51" s="4">
        <v>16.886474317958999</v>
      </c>
      <c r="F51" s="5">
        <v>472567.56204656302</v>
      </c>
      <c r="G51" s="4">
        <v>16.630202810751999</v>
      </c>
      <c r="H51" s="6" t="s">
        <v>70</v>
      </c>
      <c r="I51" s="1">
        <v>15.5</v>
      </c>
      <c r="J51" s="1">
        <v>17.8</v>
      </c>
      <c r="K51" s="18" t="s">
        <v>39</v>
      </c>
      <c r="L51" s="22">
        <f>(Table1[[#This Row],[Age Adjusted Rate]]-$N$8)/SQRT($N$12^2 + (SQRT(Table1[[#This Row],[Case Count]])/Table1[[#This Row],[Census Population]])^2)</f>
        <v>0.21498412185840693</v>
      </c>
      <c r="M51" s="22" t="s">
        <v>146</v>
      </c>
    </row>
    <row r="52" spans="1:13" ht="13.5" thickBot="1">
      <c r="A52" s="10" t="s">
        <v>68</v>
      </c>
      <c r="B52" s="2" t="s">
        <v>16</v>
      </c>
      <c r="C52" s="2" t="s">
        <v>11</v>
      </c>
      <c r="D52" s="3">
        <v>531</v>
      </c>
      <c r="E52" s="4">
        <v>11.264144721438001</v>
      </c>
      <c r="F52" s="5">
        <v>471407.29556621902</v>
      </c>
      <c r="G52" s="4">
        <v>11.708572383489001</v>
      </c>
      <c r="H52" s="6" t="s">
        <v>71</v>
      </c>
      <c r="I52" s="1">
        <v>10.7</v>
      </c>
      <c r="J52" s="1">
        <v>12.7</v>
      </c>
      <c r="K52" s="18" t="s">
        <v>39</v>
      </c>
      <c r="L52" s="22">
        <f>(Table1[[#This Row],[Age Adjusted Rate]]-$N$8)/SQRT($N$12^2 + (SQRT(Table1[[#This Row],[Case Count]])/Table1[[#This Row],[Census Population]])^2)</f>
        <v>0.10122945632275181</v>
      </c>
      <c r="M52" s="22" t="s">
        <v>146</v>
      </c>
    </row>
    <row r="53" spans="1:13" ht="13.5" thickBot="1">
      <c r="A53" s="10" t="s">
        <v>68</v>
      </c>
      <c r="B53" s="2" t="s">
        <v>18</v>
      </c>
      <c r="C53" s="2" t="s">
        <v>11</v>
      </c>
      <c r="D53" s="3">
        <v>588</v>
      </c>
      <c r="E53" s="4">
        <v>12.471906783746</v>
      </c>
      <c r="F53" s="5">
        <v>471459.58528673701</v>
      </c>
      <c r="G53" s="4">
        <v>13.099601341570001</v>
      </c>
      <c r="H53" s="6" t="s">
        <v>72</v>
      </c>
      <c r="I53" s="1">
        <v>12</v>
      </c>
      <c r="J53" s="1">
        <v>14.2</v>
      </c>
      <c r="K53" s="18" t="s">
        <v>39</v>
      </c>
      <c r="L53" s="22">
        <f>(Table1[[#This Row],[Age Adjusted Rate]]-$N$8)/SQRT($N$12^2 + (SQRT(Table1[[#This Row],[Case Count]])/Table1[[#This Row],[Census Population]])^2)</f>
        <v>0.13338059733497168</v>
      </c>
      <c r="M53" s="22" t="s">
        <v>146</v>
      </c>
    </row>
    <row r="54" spans="1:13" ht="13.5" thickBot="1">
      <c r="A54" s="10" t="s">
        <v>68</v>
      </c>
      <c r="B54" s="2" t="s">
        <v>20</v>
      </c>
      <c r="C54" s="2" t="s">
        <v>11</v>
      </c>
      <c r="D54" s="3">
        <v>609</v>
      </c>
      <c r="E54" s="4">
        <v>12.89580393993</v>
      </c>
      <c r="F54" s="5">
        <v>472246.63373976701</v>
      </c>
      <c r="G54" s="4">
        <v>13.807695277740001</v>
      </c>
      <c r="H54" s="6" t="s">
        <v>73</v>
      </c>
      <c r="I54" s="1">
        <v>12.7</v>
      </c>
      <c r="J54" s="1">
        <v>14.9</v>
      </c>
      <c r="K54" s="18" t="s">
        <v>39</v>
      </c>
      <c r="L54" s="22">
        <f>(Table1[[#This Row],[Age Adjusted Rate]]-$N$8)/SQRT($N$12^2 + (SQRT(Table1[[#This Row],[Case Count]])/Table1[[#This Row],[Census Population]])^2)</f>
        <v>0.14974691944454632</v>
      </c>
      <c r="M54" s="22" t="s">
        <v>146</v>
      </c>
    </row>
    <row r="55" spans="1:13" ht="13.5" thickBot="1">
      <c r="A55" s="10" t="s">
        <v>68</v>
      </c>
      <c r="B55" s="2" t="s">
        <v>22</v>
      </c>
      <c r="C55" s="2" t="s">
        <v>11</v>
      </c>
      <c r="D55" s="3">
        <v>474</v>
      </c>
      <c r="E55" s="4">
        <v>10.079534714209</v>
      </c>
      <c r="F55" s="5">
        <v>470259.802103539</v>
      </c>
      <c r="G55" s="4">
        <v>10.412672804688</v>
      </c>
      <c r="H55" s="6" t="s">
        <v>74</v>
      </c>
      <c r="I55" s="1">
        <v>9.5</v>
      </c>
      <c r="J55" s="1">
        <v>11.4</v>
      </c>
      <c r="K55" s="18" t="s">
        <v>39</v>
      </c>
      <c r="L55" s="22">
        <f>(Table1[[#This Row],[Age Adjusted Rate]]-$N$8)/SQRT($N$12^2 + (SQRT(Table1[[#This Row],[Case Count]])/Table1[[#This Row],[Census Population]])^2)</f>
        <v>7.1277060397658146E-2</v>
      </c>
      <c r="M55" s="22" t="s">
        <v>146</v>
      </c>
    </row>
    <row r="56" spans="1:13" ht="13.5" thickBot="1">
      <c r="A56" s="10" t="s">
        <v>68</v>
      </c>
      <c r="B56" s="2" t="s">
        <v>24</v>
      </c>
      <c r="C56" s="2" t="s">
        <v>11</v>
      </c>
      <c r="D56" s="3">
        <v>184</v>
      </c>
      <c r="E56" s="4">
        <v>3.9499812240479999</v>
      </c>
      <c r="F56" s="5">
        <v>465824.99906515999</v>
      </c>
      <c r="G56" s="4">
        <v>3.9933491399849999</v>
      </c>
      <c r="H56" s="6" t="s">
        <v>75</v>
      </c>
      <c r="I56" s="1">
        <v>3.4</v>
      </c>
      <c r="J56" s="1">
        <v>4.5999999999999996</v>
      </c>
      <c r="K56" s="19" t="s">
        <v>46</v>
      </c>
      <c r="L56" s="22">
        <f>(Table1[[#This Row],[Age Adjusted Rate]]-$N$8)/SQRT($N$12^2 + (SQRT(Table1[[#This Row],[Case Count]])/Table1[[#This Row],[Census Population]])^2)</f>
        <v>-7.7094099777022737E-2</v>
      </c>
      <c r="M56" s="22" t="s">
        <v>146</v>
      </c>
    </row>
    <row r="57" spans="1:13" ht="13.5" thickBot="1">
      <c r="A57" s="10" t="s">
        <v>68</v>
      </c>
      <c r="B57" s="2" t="s">
        <v>26</v>
      </c>
      <c r="C57" s="2" t="s">
        <v>11</v>
      </c>
      <c r="D57" s="3">
        <v>263</v>
      </c>
      <c r="E57" s="4">
        <v>5.6458970756779996</v>
      </c>
      <c r="F57" s="5">
        <v>465824.99906515999</v>
      </c>
      <c r="G57" s="4">
        <v>5.8808334943289999</v>
      </c>
      <c r="H57" s="6" t="s">
        <v>76</v>
      </c>
      <c r="I57" s="1">
        <v>5.2</v>
      </c>
      <c r="J57" s="1">
        <v>6.6</v>
      </c>
      <c r="K57" s="18" t="s">
        <v>39</v>
      </c>
      <c r="L57" s="22">
        <f>(Table1[[#This Row],[Age Adjusted Rate]]-$N$8)/SQRT($N$12^2 + (SQRT(Table1[[#This Row],[Case Count]])/Table1[[#This Row],[Census Population]])^2)</f>
        <v>-3.3468282153040693E-2</v>
      </c>
      <c r="M57" s="22" t="s">
        <v>146</v>
      </c>
    </row>
    <row r="58" spans="1:13" ht="13.5" hidden="1" thickBot="1">
      <c r="A58" s="10" t="s">
        <v>77</v>
      </c>
      <c r="B58" s="7" t="s">
        <v>10</v>
      </c>
      <c r="C58" s="7" t="s">
        <v>11</v>
      </c>
      <c r="D58" s="3">
        <v>110</v>
      </c>
      <c r="E58" s="4">
        <v>6.7800228266840001</v>
      </c>
      <c r="F58" s="3">
        <v>162241.34167671899</v>
      </c>
      <c r="G58" s="4">
        <v>7.2894848740520004</v>
      </c>
      <c r="H58" s="6" t="s">
        <v>78</v>
      </c>
      <c r="I58" s="1">
        <v>5.9</v>
      </c>
      <c r="J58" s="1">
        <v>8.6999999999999993</v>
      </c>
      <c r="K58" s="16" t="s">
        <v>13</v>
      </c>
      <c r="L58" s="1">
        <f>(Table1[[#This Row],[Age Adjusted Rate]]-$N$8)/SQRT($N$12^2 + (SQRT(Table1[[#This Row],[Case Count]])/Table1[[#This Row],[Census Population]])^2)</f>
        <v>-9.0983045190569085E-4</v>
      </c>
      <c r="M58" s="1"/>
    </row>
    <row r="59" spans="1:13" ht="13.5" thickBot="1">
      <c r="A59" s="10" t="s">
        <v>77</v>
      </c>
      <c r="B59" s="2" t="s">
        <v>14</v>
      </c>
      <c r="C59" s="2" t="s">
        <v>11</v>
      </c>
      <c r="D59" s="3">
        <v>106</v>
      </c>
      <c r="E59" s="4">
        <v>6.5180209030869998</v>
      </c>
      <c r="F59" s="5">
        <v>162626.05102997701</v>
      </c>
      <c r="G59" s="4">
        <v>6.6638752789830002</v>
      </c>
      <c r="H59" s="6" t="s">
        <v>79</v>
      </c>
      <c r="I59" s="1">
        <v>5.4</v>
      </c>
      <c r="J59" s="1">
        <v>7.9</v>
      </c>
      <c r="K59" s="16" t="s">
        <v>13</v>
      </c>
      <c r="L59" s="22">
        <f>(Table1[[#This Row],[Age Adjusted Rate]]-$N$8)/SQRT($N$12^2 + (SQRT(Table1[[#This Row],[Case Count]])/Table1[[#This Row],[Census Population]])^2)</f>
        <v>-1.5369674866220914E-2</v>
      </c>
      <c r="M59" s="22" t="s">
        <v>146</v>
      </c>
    </row>
    <row r="60" spans="1:13" ht="13.5" thickBot="1">
      <c r="A60" s="10" t="s">
        <v>77</v>
      </c>
      <c r="B60" s="2" t="s">
        <v>16</v>
      </c>
      <c r="C60" s="2" t="s">
        <v>11</v>
      </c>
      <c r="D60" s="3">
        <v>58</v>
      </c>
      <c r="E60" s="4">
        <v>3.5439958319340001</v>
      </c>
      <c r="F60" s="5">
        <v>163657.07735143401</v>
      </c>
      <c r="G60" s="4">
        <v>4.2508314595709997</v>
      </c>
      <c r="H60" s="6" t="s">
        <v>80</v>
      </c>
      <c r="I60" s="1">
        <v>3.2</v>
      </c>
      <c r="J60" s="1">
        <v>5.3</v>
      </c>
      <c r="K60" s="16" t="s">
        <v>13</v>
      </c>
      <c r="L60" s="22">
        <f>(Table1[[#This Row],[Age Adjusted Rate]]-$N$8)/SQRT($N$12^2 + (SQRT(Table1[[#This Row],[Case Count]])/Table1[[#This Row],[Census Population]])^2)</f>
        <v>-7.1142857484681132E-2</v>
      </c>
      <c r="M60" s="22" t="s">
        <v>146</v>
      </c>
    </row>
    <row r="61" spans="1:13" ht="13.5" thickBot="1">
      <c r="A61" s="10" t="s">
        <v>77</v>
      </c>
      <c r="B61" s="2" t="s">
        <v>18</v>
      </c>
      <c r="C61" s="2" t="s">
        <v>11</v>
      </c>
      <c r="D61" s="3">
        <v>64</v>
      </c>
      <c r="E61" s="4">
        <v>3.9129614655079998</v>
      </c>
      <c r="F61" s="5">
        <v>163558.98355793601</v>
      </c>
      <c r="G61" s="4">
        <v>4.8014320456749999</v>
      </c>
      <c r="H61" s="6" t="s">
        <v>81</v>
      </c>
      <c r="I61" s="1">
        <v>3.6</v>
      </c>
      <c r="J61" s="1">
        <v>6</v>
      </c>
      <c r="K61" s="16" t="s">
        <v>13</v>
      </c>
      <c r="L61" s="22">
        <f>(Table1[[#This Row],[Age Adjusted Rate]]-$N$8)/SQRT($N$12^2 + (SQRT(Table1[[#This Row],[Case Count]])/Table1[[#This Row],[Census Population]])^2)</f>
        <v>-5.8416711862469856E-2</v>
      </c>
      <c r="M61" s="22" t="s">
        <v>146</v>
      </c>
    </row>
    <row r="62" spans="1:13" ht="13.5" thickBot="1">
      <c r="A62" s="10" t="s">
        <v>77</v>
      </c>
      <c r="B62" s="2" t="s">
        <v>20</v>
      </c>
      <c r="C62" s="2" t="s">
        <v>11</v>
      </c>
      <c r="D62" s="3">
        <v>86</v>
      </c>
      <c r="E62" s="4">
        <v>5.2458229748720004</v>
      </c>
      <c r="F62" s="5">
        <v>163939.958347693</v>
      </c>
      <c r="G62" s="4">
        <v>6.3088097615240004</v>
      </c>
      <c r="H62" s="6" t="s">
        <v>82</v>
      </c>
      <c r="I62" s="1">
        <v>5</v>
      </c>
      <c r="J62" s="1">
        <v>7.6</v>
      </c>
      <c r="K62" s="19" t="s">
        <v>46</v>
      </c>
      <c r="L62" s="22">
        <f>(Table1[[#This Row],[Age Adjusted Rate]]-$N$8)/SQRT($N$12^2 + (SQRT(Table1[[#This Row],[Case Count]])/Table1[[#This Row],[Census Population]])^2)</f>
        <v>-2.357637786409033E-2</v>
      </c>
      <c r="M62" s="22" t="s">
        <v>146</v>
      </c>
    </row>
    <row r="63" spans="1:13" ht="13.5" thickBot="1">
      <c r="A63" s="10" t="s">
        <v>77</v>
      </c>
      <c r="B63" s="2" t="s">
        <v>22</v>
      </c>
      <c r="C63" s="2" t="s">
        <v>11</v>
      </c>
      <c r="D63" s="3">
        <v>74</v>
      </c>
      <c r="E63" s="4">
        <v>4.4907147928319997</v>
      </c>
      <c r="F63" s="5">
        <v>164784.45729423099</v>
      </c>
      <c r="G63" s="4">
        <v>5.3131759431479999</v>
      </c>
      <c r="H63" s="6" t="s">
        <v>83</v>
      </c>
      <c r="I63" s="1">
        <v>4.0999999999999996</v>
      </c>
      <c r="J63" s="1">
        <v>6.5</v>
      </c>
      <c r="K63" s="16" t="s">
        <v>13</v>
      </c>
      <c r="L63" s="22">
        <f>(Table1[[#This Row],[Age Adjusted Rate]]-$N$8)/SQRT($N$12^2 + (SQRT(Table1[[#This Row],[Case Count]])/Table1[[#This Row],[Census Population]])^2)</f>
        <v>-4.6588668949182233E-2</v>
      </c>
      <c r="M63" s="22" t="s">
        <v>146</v>
      </c>
    </row>
    <row r="64" spans="1:13" ht="13.5" thickBot="1">
      <c r="A64" s="10" t="s">
        <v>77</v>
      </c>
      <c r="B64" s="2" t="s">
        <v>24</v>
      </c>
      <c r="C64" s="2" t="s">
        <v>11</v>
      </c>
      <c r="D64" s="3">
        <v>48</v>
      </c>
      <c r="E64" s="4">
        <v>2.9573403605239998</v>
      </c>
      <c r="F64" s="5">
        <v>162308.00025832601</v>
      </c>
      <c r="G64" s="4">
        <v>3.1852919750240001</v>
      </c>
      <c r="H64" s="6" t="s">
        <v>84</v>
      </c>
      <c r="I64" s="1">
        <v>2.2999999999999998</v>
      </c>
      <c r="J64" s="1">
        <v>4.0999999999999996</v>
      </c>
      <c r="K64" s="19" t="s">
        <v>46</v>
      </c>
      <c r="L64" s="22">
        <f>(Table1[[#This Row],[Age Adjusted Rate]]-$N$8)/SQRT($N$12^2 + (SQRT(Table1[[#This Row],[Case Count]])/Table1[[#This Row],[Census Population]])^2)</f>
        <v>-9.5770892740714805E-2</v>
      </c>
      <c r="M64" s="22" t="s">
        <v>146</v>
      </c>
    </row>
    <row r="65" spans="1:13" ht="13.5" thickBot="1">
      <c r="A65" s="10" t="s">
        <v>77</v>
      </c>
      <c r="B65" s="2" t="s">
        <v>26</v>
      </c>
      <c r="C65" s="2" t="s">
        <v>11</v>
      </c>
      <c r="D65" s="3">
        <v>41</v>
      </c>
      <c r="E65" s="4">
        <v>2.5260615579480001</v>
      </c>
      <c r="F65" s="5">
        <v>162308.00025832601</v>
      </c>
      <c r="G65" s="4">
        <v>2.8689660392860001</v>
      </c>
      <c r="H65" s="6" t="s">
        <v>85</v>
      </c>
      <c r="I65" s="1">
        <v>2</v>
      </c>
      <c r="J65" s="1">
        <v>3.7</v>
      </c>
      <c r="K65" s="16" t="s">
        <v>13</v>
      </c>
      <c r="L65" s="22">
        <f>(Table1[[#This Row],[Age Adjusted Rate]]-$N$8)/SQRT($N$12^2 + (SQRT(Table1[[#This Row],[Case Count]])/Table1[[#This Row],[Census Population]])^2)</f>
        <v>-0.10308219974598366</v>
      </c>
      <c r="M65" s="22" t="s">
        <v>146</v>
      </c>
    </row>
    <row r="66" spans="1:13" ht="13.5" hidden="1" thickBot="1">
      <c r="A66" s="10" t="s">
        <v>86</v>
      </c>
      <c r="B66" s="7" t="s">
        <v>10</v>
      </c>
      <c r="C66" s="7" t="s">
        <v>11</v>
      </c>
      <c r="D66" s="3">
        <v>1336</v>
      </c>
      <c r="E66" s="4">
        <v>8.4587707555720009</v>
      </c>
      <c r="F66" s="3">
        <v>1579425.7092496399</v>
      </c>
      <c r="G66" s="4">
        <v>8.6074753009269998</v>
      </c>
      <c r="H66" s="6" t="s">
        <v>87</v>
      </c>
      <c r="I66" s="1">
        <v>8.1</v>
      </c>
      <c r="J66" s="1">
        <v>9.1</v>
      </c>
      <c r="K66" s="16" t="s">
        <v>13</v>
      </c>
      <c r="L66" s="1">
        <f>(Table1[[#This Row],[Age Adjusted Rate]]-$N$8)/SQRT($N$12^2 + (SQRT(Table1[[#This Row],[Case Count]])/Table1[[#This Row],[Census Population]])^2)</f>
        <v>2.9553155829633859E-2</v>
      </c>
      <c r="M66" s="1"/>
    </row>
    <row r="67" spans="1:13" ht="13.5" thickBot="1">
      <c r="A67" s="10" t="s">
        <v>86</v>
      </c>
      <c r="B67" s="2" t="s">
        <v>14</v>
      </c>
      <c r="C67" s="2" t="s">
        <v>11</v>
      </c>
      <c r="D67" s="3">
        <v>1152</v>
      </c>
      <c r="E67" s="4">
        <v>7.2317347140169996</v>
      </c>
      <c r="F67" s="5">
        <v>1592978.78801752</v>
      </c>
      <c r="G67" s="4">
        <v>7.2095256002920003</v>
      </c>
      <c r="H67" s="6" t="s">
        <v>88</v>
      </c>
      <c r="I67" s="1">
        <v>6.8</v>
      </c>
      <c r="J67" s="1">
        <v>7.6</v>
      </c>
      <c r="K67" s="16" t="s">
        <v>13</v>
      </c>
      <c r="L67" s="22">
        <f>(Table1[[#This Row],[Age Adjusted Rate]]-$N$8)/SQRT($N$12^2 + (SQRT(Table1[[#This Row],[Case Count]])/Table1[[#This Row],[Census Population]])^2)</f>
        <v>-2.7579457416422233E-3</v>
      </c>
      <c r="M67" s="22" t="s">
        <v>146</v>
      </c>
    </row>
    <row r="68" spans="1:13" ht="13.5" thickBot="1">
      <c r="A68" s="10" t="s">
        <v>86</v>
      </c>
      <c r="B68" s="2" t="s">
        <v>16</v>
      </c>
      <c r="C68" s="2" t="s">
        <v>11</v>
      </c>
      <c r="D68" s="3">
        <v>872</v>
      </c>
      <c r="E68" s="4">
        <v>5.4327678587159998</v>
      </c>
      <c r="F68" s="5">
        <v>1605075.02377632</v>
      </c>
      <c r="G68" s="4">
        <v>5.8431891443620003</v>
      </c>
      <c r="H68" s="6" t="s">
        <v>89</v>
      </c>
      <c r="I68" s="1">
        <v>5.5</v>
      </c>
      <c r="J68" s="1">
        <v>6.2</v>
      </c>
      <c r="K68" s="16" t="s">
        <v>13</v>
      </c>
      <c r="L68" s="22">
        <f>(Table1[[#This Row],[Age Adjusted Rate]]-$N$8)/SQRT($N$12^2 + (SQRT(Table1[[#This Row],[Case Count]])/Table1[[#This Row],[Census Population]])^2)</f>
        <v>-3.4338363826813975E-2</v>
      </c>
      <c r="M68" s="22" t="s">
        <v>146</v>
      </c>
    </row>
    <row r="69" spans="1:13" ht="13.5" thickBot="1">
      <c r="A69" s="10" t="s">
        <v>86</v>
      </c>
      <c r="B69" s="2" t="s">
        <v>18</v>
      </c>
      <c r="C69" s="2" t="s">
        <v>11</v>
      </c>
      <c r="D69" s="3">
        <v>872</v>
      </c>
      <c r="E69" s="4">
        <v>5.3977232845019998</v>
      </c>
      <c r="F69" s="5">
        <v>1615495.93048548</v>
      </c>
      <c r="G69" s="4">
        <v>5.8610024735520003</v>
      </c>
      <c r="H69" s="6" t="s">
        <v>90</v>
      </c>
      <c r="I69" s="1">
        <v>5.5</v>
      </c>
      <c r="J69" s="1">
        <v>6.3</v>
      </c>
      <c r="K69" s="16" t="s">
        <v>13</v>
      </c>
      <c r="L69" s="22">
        <f>(Table1[[#This Row],[Age Adjusted Rate]]-$N$8)/SQRT($N$12^2 + (SQRT(Table1[[#This Row],[Case Count]])/Table1[[#This Row],[Census Population]])^2)</f>
        <v>-3.3926640652139531E-2</v>
      </c>
      <c r="M69" s="22" t="s">
        <v>146</v>
      </c>
    </row>
    <row r="70" spans="1:13" ht="13.5" thickBot="1">
      <c r="A70" s="10" t="s">
        <v>86</v>
      </c>
      <c r="B70" s="2" t="s">
        <v>20</v>
      </c>
      <c r="C70" s="2" t="s">
        <v>11</v>
      </c>
      <c r="D70" s="3">
        <v>802</v>
      </c>
      <c r="E70" s="4">
        <v>4.9455584671789996</v>
      </c>
      <c r="F70" s="5">
        <v>1621657.0996427301</v>
      </c>
      <c r="G70" s="4">
        <v>5.2813187351500002</v>
      </c>
      <c r="H70" s="6" t="s">
        <v>91</v>
      </c>
      <c r="I70" s="1">
        <v>4.9000000000000004</v>
      </c>
      <c r="J70" s="1">
        <v>5.6</v>
      </c>
      <c r="K70" s="16" t="s">
        <v>13</v>
      </c>
      <c r="L70" s="22">
        <f>(Table1[[#This Row],[Age Adjusted Rate]]-$N$8)/SQRT($N$12^2 + (SQRT(Table1[[#This Row],[Case Count]])/Table1[[#This Row],[Census Population]])^2)</f>
        <v>-4.7324991209543421E-2</v>
      </c>
      <c r="M70" s="22" t="s">
        <v>146</v>
      </c>
    </row>
    <row r="71" spans="1:13" ht="13.5" thickBot="1">
      <c r="A71" s="10" t="s">
        <v>86</v>
      </c>
      <c r="B71" s="2" t="s">
        <v>22</v>
      </c>
      <c r="C71" s="2" t="s">
        <v>11</v>
      </c>
      <c r="D71" s="3">
        <v>793</v>
      </c>
      <c r="E71" s="4">
        <v>4.8768589010390002</v>
      </c>
      <c r="F71" s="5">
        <v>1626046.63389181</v>
      </c>
      <c r="G71" s="4">
        <v>5.2002381959630002</v>
      </c>
      <c r="H71" s="6" t="s">
        <v>92</v>
      </c>
      <c r="I71" s="1">
        <v>4.8</v>
      </c>
      <c r="J71" s="1">
        <v>5.6</v>
      </c>
      <c r="K71" s="16" t="s">
        <v>13</v>
      </c>
      <c r="L71" s="22">
        <f>(Table1[[#This Row],[Age Adjusted Rate]]-$N$8)/SQRT($N$12^2 + (SQRT(Table1[[#This Row],[Case Count]])/Table1[[#This Row],[Census Population]])^2)</f>
        <v>-4.9199022539808894E-2</v>
      </c>
      <c r="M71" s="22" t="s">
        <v>146</v>
      </c>
    </row>
    <row r="72" spans="1:13" ht="13.5" thickBot="1">
      <c r="A72" s="10" t="s">
        <v>86</v>
      </c>
      <c r="B72" s="2" t="s">
        <v>24</v>
      </c>
      <c r="C72" s="2" t="s">
        <v>11</v>
      </c>
      <c r="D72" s="3">
        <v>435</v>
      </c>
      <c r="E72" s="4">
        <v>2.665437914845</v>
      </c>
      <c r="F72" s="5">
        <v>1632001.99703502</v>
      </c>
      <c r="G72" s="4">
        <v>2.653651972269</v>
      </c>
      <c r="H72" s="6" t="s">
        <v>93</v>
      </c>
      <c r="I72" s="1">
        <v>2.4</v>
      </c>
      <c r="J72" s="1">
        <v>2.9</v>
      </c>
      <c r="K72" s="16" t="s">
        <v>13</v>
      </c>
      <c r="L72" s="22">
        <f>(Table1[[#This Row],[Age Adjusted Rate]]-$N$8)/SQRT($N$12^2 + (SQRT(Table1[[#This Row],[Case Count]])/Table1[[#This Row],[Census Population]])^2)</f>
        <v>-0.10805879846481097</v>
      </c>
      <c r="M72" s="22" t="s">
        <v>146</v>
      </c>
    </row>
    <row r="73" spans="1:13" ht="13.5" thickBot="1">
      <c r="A73" s="10" t="s">
        <v>86</v>
      </c>
      <c r="B73" s="2" t="s">
        <v>26</v>
      </c>
      <c r="C73" s="2" t="s">
        <v>11</v>
      </c>
      <c r="D73" s="3">
        <v>525</v>
      </c>
      <c r="E73" s="4">
        <v>3.2169078282610002</v>
      </c>
      <c r="F73" s="5">
        <v>1632001.99703502</v>
      </c>
      <c r="G73" s="4">
        <v>3.5491601665200001</v>
      </c>
      <c r="H73" s="6" t="s">
        <v>94</v>
      </c>
      <c r="I73" s="1">
        <v>3.2</v>
      </c>
      <c r="J73" s="1">
        <v>3.9</v>
      </c>
      <c r="K73" s="16" t="s">
        <v>13</v>
      </c>
      <c r="L73" s="22">
        <f>(Table1[[#This Row],[Age Adjusted Rate]]-$N$8)/SQRT($N$12^2 + (SQRT(Table1[[#This Row],[Case Count]])/Table1[[#This Row],[Census Population]])^2)</f>
        <v>-8.7360731710896436E-2</v>
      </c>
      <c r="M73" s="22" t="s">
        <v>146</v>
      </c>
    </row>
    <row r="74" spans="1:13" ht="13.5" hidden="1" thickBot="1">
      <c r="A74" s="10" t="s">
        <v>95</v>
      </c>
      <c r="B74" s="7" t="s">
        <v>10</v>
      </c>
      <c r="C74" s="7" t="s">
        <v>11</v>
      </c>
      <c r="D74" s="8" t="s">
        <v>48</v>
      </c>
      <c r="E74" s="8" t="s">
        <v>48</v>
      </c>
      <c r="F74" s="3">
        <v>10779.820145293599</v>
      </c>
      <c r="G74" s="8" t="s">
        <v>48</v>
      </c>
      <c r="H74" s="9" t="s">
        <v>48</v>
      </c>
      <c r="I74" s="1" t="s">
        <v>48</v>
      </c>
      <c r="J74" s="1"/>
      <c r="K74" s="19" t="s">
        <v>49</v>
      </c>
      <c r="L74" s="1" t="e">
        <f>(Table1[[#This Row],[Age Adjusted Rate]]-$N$8)/SQRT($N$12^2 + (SQRT(Table1[[#This Row],[Case Count]])/Table1[[#This Row],[Census Population]])^2)</f>
        <v>#VALUE!</v>
      </c>
      <c r="M74" s="1"/>
    </row>
    <row r="75" spans="1:13" ht="13.5" hidden="1" thickBot="1">
      <c r="A75" s="10" t="s">
        <v>95</v>
      </c>
      <c r="B75" s="2" t="s">
        <v>14</v>
      </c>
      <c r="C75" s="2" t="s">
        <v>11</v>
      </c>
      <c r="D75" s="8" t="s">
        <v>48</v>
      </c>
      <c r="E75" s="8" t="s">
        <v>48</v>
      </c>
      <c r="F75" s="5">
        <v>10896.6916008195</v>
      </c>
      <c r="G75" s="8" t="s">
        <v>48</v>
      </c>
      <c r="H75" s="9" t="s">
        <v>48</v>
      </c>
      <c r="I75" s="1" t="s">
        <v>48</v>
      </c>
      <c r="J75" s="1"/>
      <c r="K75" s="19" t="s">
        <v>49</v>
      </c>
      <c r="L75" s="1" t="e">
        <f>(Table1[[#This Row],[Age Adjusted Rate]]-$N$8)/SQRT($N$12^2 + (SQRT(Table1[[#This Row],[Case Count]])/Table1[[#This Row],[Census Population]])^2)</f>
        <v>#VALUE!</v>
      </c>
      <c r="M75" s="1"/>
    </row>
    <row r="76" spans="1:13" ht="13.5" hidden="1" thickBot="1">
      <c r="A76" s="10" t="s">
        <v>95</v>
      </c>
      <c r="B76" s="2" t="s">
        <v>16</v>
      </c>
      <c r="C76" s="2" t="s">
        <v>11</v>
      </c>
      <c r="D76" s="8" t="s">
        <v>48</v>
      </c>
      <c r="E76" s="8" t="s">
        <v>48</v>
      </c>
      <c r="F76" s="5">
        <v>11118.3958548418</v>
      </c>
      <c r="G76" s="8" t="s">
        <v>48</v>
      </c>
      <c r="H76" s="9" t="s">
        <v>48</v>
      </c>
      <c r="I76" s="1" t="s">
        <v>48</v>
      </c>
      <c r="J76" s="1"/>
      <c r="K76" s="19" t="s">
        <v>49</v>
      </c>
      <c r="L76" s="1" t="e">
        <f>(Table1[[#This Row],[Age Adjusted Rate]]-$N$8)/SQRT($N$12^2 + (SQRT(Table1[[#This Row],[Case Count]])/Table1[[#This Row],[Census Population]])^2)</f>
        <v>#VALUE!</v>
      </c>
      <c r="M76" s="1"/>
    </row>
    <row r="77" spans="1:13" ht="13.5" hidden="1" thickBot="1">
      <c r="A77" s="10" t="s">
        <v>95</v>
      </c>
      <c r="B77" s="2" t="s">
        <v>18</v>
      </c>
      <c r="C77" s="2" t="s">
        <v>11</v>
      </c>
      <c r="D77" s="8" t="s">
        <v>48</v>
      </c>
      <c r="E77" s="8" t="s">
        <v>48</v>
      </c>
      <c r="F77" s="5">
        <v>11212.2369653144</v>
      </c>
      <c r="G77" s="8" t="s">
        <v>48</v>
      </c>
      <c r="H77" s="9" t="s">
        <v>48</v>
      </c>
      <c r="I77" s="1" t="s">
        <v>48</v>
      </c>
      <c r="J77" s="1"/>
      <c r="K77" s="19" t="s">
        <v>49</v>
      </c>
      <c r="L77" s="1" t="e">
        <f>(Table1[[#This Row],[Age Adjusted Rate]]-$N$8)/SQRT($N$12^2 + (SQRT(Table1[[#This Row],[Case Count]])/Table1[[#This Row],[Census Population]])^2)</f>
        <v>#VALUE!</v>
      </c>
      <c r="M77" s="1"/>
    </row>
    <row r="78" spans="1:13" ht="13.5" hidden="1" thickBot="1">
      <c r="A78" s="10" t="s">
        <v>95</v>
      </c>
      <c r="B78" s="2" t="s">
        <v>20</v>
      </c>
      <c r="C78" s="2" t="s">
        <v>11</v>
      </c>
      <c r="D78" s="8" t="s">
        <v>48</v>
      </c>
      <c r="E78" s="8" t="s">
        <v>48</v>
      </c>
      <c r="F78" s="5">
        <v>11118.070128007201</v>
      </c>
      <c r="G78" s="8" t="s">
        <v>48</v>
      </c>
      <c r="H78" s="9" t="s">
        <v>48</v>
      </c>
      <c r="I78" s="1" t="s">
        <v>48</v>
      </c>
      <c r="J78" s="1"/>
      <c r="K78" s="19" t="s">
        <v>49</v>
      </c>
      <c r="L78" s="1" t="e">
        <f>(Table1[[#This Row],[Age Adjusted Rate]]-$N$8)/SQRT($N$12^2 + (SQRT(Table1[[#This Row],[Case Count]])/Table1[[#This Row],[Census Population]])^2)</f>
        <v>#VALUE!</v>
      </c>
      <c r="M78" s="1"/>
    </row>
    <row r="79" spans="1:13" ht="13.5" hidden="1" thickBot="1">
      <c r="A79" s="10" t="s">
        <v>95</v>
      </c>
      <c r="B79" s="2" t="s">
        <v>22</v>
      </c>
      <c r="C79" s="2" t="s">
        <v>11</v>
      </c>
      <c r="D79" s="8" t="s">
        <v>48</v>
      </c>
      <c r="E79" s="8" t="s">
        <v>48</v>
      </c>
      <c r="F79" s="5">
        <v>11338.6127153202</v>
      </c>
      <c r="G79" s="8" t="s">
        <v>48</v>
      </c>
      <c r="H79" s="9" t="s">
        <v>48</v>
      </c>
      <c r="I79" s="1" t="s">
        <v>48</v>
      </c>
      <c r="J79" s="1"/>
      <c r="K79" s="19" t="s">
        <v>49</v>
      </c>
      <c r="L79" s="1" t="e">
        <f>(Table1[[#This Row],[Age Adjusted Rate]]-$N$8)/SQRT($N$12^2 + (SQRT(Table1[[#This Row],[Case Count]])/Table1[[#This Row],[Census Population]])^2)</f>
        <v>#VALUE!</v>
      </c>
      <c r="M79" s="1"/>
    </row>
    <row r="80" spans="1:13" ht="13.5" hidden="1" thickBot="1">
      <c r="A80" s="10" t="s">
        <v>95</v>
      </c>
      <c r="B80" s="2" t="s">
        <v>24</v>
      </c>
      <c r="C80" s="2" t="s">
        <v>11</v>
      </c>
      <c r="D80" s="8" t="s">
        <v>48</v>
      </c>
      <c r="E80" s="8" t="s">
        <v>48</v>
      </c>
      <c r="F80" s="5">
        <v>14255.000038147</v>
      </c>
      <c r="G80" s="8" t="s">
        <v>48</v>
      </c>
      <c r="H80" s="9" t="s">
        <v>48</v>
      </c>
      <c r="I80" s="1" t="s">
        <v>48</v>
      </c>
      <c r="J80" s="1"/>
      <c r="K80" s="19" t="s">
        <v>49</v>
      </c>
      <c r="L80" s="1" t="e">
        <f>(Table1[[#This Row],[Age Adjusted Rate]]-$N$8)/SQRT($N$12^2 + (SQRT(Table1[[#This Row],[Case Count]])/Table1[[#This Row],[Census Population]])^2)</f>
        <v>#VALUE!</v>
      </c>
      <c r="M80" s="1"/>
    </row>
    <row r="81" spans="1:13" ht="13.5" hidden="1" thickBot="1">
      <c r="A81" s="10" t="s">
        <v>95</v>
      </c>
      <c r="B81" s="2" t="s">
        <v>26</v>
      </c>
      <c r="C81" s="2" t="s">
        <v>11</v>
      </c>
      <c r="D81" s="8" t="s">
        <v>48</v>
      </c>
      <c r="E81" s="8" t="s">
        <v>48</v>
      </c>
      <c r="F81" s="5">
        <v>14255.000038147</v>
      </c>
      <c r="G81" s="8" t="s">
        <v>48</v>
      </c>
      <c r="H81" s="9" t="s">
        <v>48</v>
      </c>
      <c r="I81" s="1" t="s">
        <v>48</v>
      </c>
      <c r="J81" s="1"/>
      <c r="K81" s="19" t="s">
        <v>49</v>
      </c>
      <c r="L81" s="1" t="e">
        <f>(Table1[[#This Row],[Age Adjusted Rate]]-$N$8)/SQRT($N$12^2 + (SQRT(Table1[[#This Row],[Case Count]])/Table1[[#This Row],[Census Population]])^2)</f>
        <v>#VALUE!</v>
      </c>
      <c r="M81" s="1"/>
    </row>
    <row r="82" spans="1:13" ht="13.5" hidden="1" thickBot="1">
      <c r="A82" s="10" t="s">
        <v>96</v>
      </c>
      <c r="B82" s="7" t="s">
        <v>10</v>
      </c>
      <c r="C82" s="7" t="s">
        <v>11</v>
      </c>
      <c r="D82" s="3">
        <v>622</v>
      </c>
      <c r="E82" s="4">
        <v>8.9416812408189994</v>
      </c>
      <c r="F82" s="3">
        <v>695618.623889804</v>
      </c>
      <c r="G82" s="4">
        <v>8.7417075593539995</v>
      </c>
      <c r="H82" s="6" t="s">
        <v>97</v>
      </c>
      <c r="I82" s="1">
        <v>8.1</v>
      </c>
      <c r="J82" s="1">
        <v>9.4</v>
      </c>
      <c r="K82" s="16" t="s">
        <v>13</v>
      </c>
      <c r="L82" s="1">
        <f>(Table1[[#This Row],[Age Adjusted Rate]]-$N$8)/SQRT($N$12^2 + (SQRT(Table1[[#This Row],[Case Count]])/Table1[[#This Row],[Census Population]])^2)</f>
        <v>3.2655693878175449E-2</v>
      </c>
      <c r="M82" s="1"/>
    </row>
    <row r="83" spans="1:13" ht="13.5" thickBot="1">
      <c r="A83" s="10" t="s">
        <v>96</v>
      </c>
      <c r="B83" s="2" t="s">
        <v>14</v>
      </c>
      <c r="C83" s="2" t="s">
        <v>11</v>
      </c>
      <c r="D83" s="3">
        <v>560</v>
      </c>
      <c r="E83" s="4">
        <v>8.0095853536370001</v>
      </c>
      <c r="F83" s="5">
        <v>699162.28528073395</v>
      </c>
      <c r="G83" s="4">
        <v>7.7913745725699997</v>
      </c>
      <c r="H83" s="6" t="s">
        <v>98</v>
      </c>
      <c r="I83" s="1">
        <v>7.1</v>
      </c>
      <c r="J83" s="1">
        <v>8.4</v>
      </c>
      <c r="K83" s="16" t="s">
        <v>13</v>
      </c>
      <c r="L83" s="22">
        <f>(Table1[[#This Row],[Age Adjusted Rate]]-$N$8)/SQRT($N$12^2 + (SQRT(Table1[[#This Row],[Case Count]])/Table1[[#This Row],[Census Population]])^2)</f>
        <v>1.0690450315723023E-2</v>
      </c>
      <c r="M83" s="22" t="s">
        <v>146</v>
      </c>
    </row>
    <row r="84" spans="1:13" ht="13.5" thickBot="1">
      <c r="A84" s="10" t="s">
        <v>96</v>
      </c>
      <c r="B84" s="2" t="s">
        <v>16</v>
      </c>
      <c r="C84" s="2" t="s">
        <v>11</v>
      </c>
      <c r="D84" s="3">
        <v>369</v>
      </c>
      <c r="E84" s="4">
        <v>5.2486553420539996</v>
      </c>
      <c r="F84" s="5">
        <v>703037.20848918403</v>
      </c>
      <c r="G84" s="4">
        <v>5.506818149631</v>
      </c>
      <c r="H84" s="6" t="s">
        <v>99</v>
      </c>
      <c r="I84" s="1">
        <v>4.9000000000000004</v>
      </c>
      <c r="J84" s="1">
        <v>6.1</v>
      </c>
      <c r="K84" s="16" t="s">
        <v>13</v>
      </c>
      <c r="L84" s="22">
        <f>(Table1[[#This Row],[Age Adjusted Rate]]-$N$8)/SQRT($N$12^2 + (SQRT(Table1[[#This Row],[Case Count]])/Table1[[#This Row],[Census Population]])^2)</f>
        <v>-4.2112976440874257E-2</v>
      </c>
      <c r="M84" s="22" t="s">
        <v>146</v>
      </c>
    </row>
    <row r="85" spans="1:13" ht="13.5" thickBot="1">
      <c r="A85" s="10" t="s">
        <v>96</v>
      </c>
      <c r="B85" s="2" t="s">
        <v>18</v>
      </c>
      <c r="C85" s="2" t="s">
        <v>11</v>
      </c>
      <c r="D85" s="3">
        <v>382</v>
      </c>
      <c r="E85" s="4">
        <v>5.4012342371989996</v>
      </c>
      <c r="F85" s="5">
        <v>707245.75758826896</v>
      </c>
      <c r="G85" s="4">
        <v>5.5274817514930001</v>
      </c>
      <c r="H85" s="6" t="s">
        <v>100</v>
      </c>
      <c r="I85" s="1">
        <v>5</v>
      </c>
      <c r="J85" s="1">
        <v>6.1</v>
      </c>
      <c r="K85" s="16" t="s">
        <v>13</v>
      </c>
      <c r="L85" s="22">
        <f>(Table1[[#This Row],[Age Adjusted Rate]]-$N$8)/SQRT($N$12^2 + (SQRT(Table1[[#This Row],[Case Count]])/Table1[[#This Row],[Census Population]])^2)</f>
        <v>-4.1635374322365672E-2</v>
      </c>
      <c r="M85" s="22" t="s">
        <v>146</v>
      </c>
    </row>
    <row r="86" spans="1:13" ht="13.5" thickBot="1">
      <c r="A86" s="10" t="s">
        <v>96</v>
      </c>
      <c r="B86" s="2" t="s">
        <v>20</v>
      </c>
      <c r="C86" s="2" t="s">
        <v>11</v>
      </c>
      <c r="D86" s="3">
        <v>413</v>
      </c>
      <c r="E86" s="4">
        <v>5.8070760509110002</v>
      </c>
      <c r="F86" s="5">
        <v>711201.29369614902</v>
      </c>
      <c r="G86" s="4">
        <v>5.8343068883390004</v>
      </c>
      <c r="H86" s="6" t="s">
        <v>101</v>
      </c>
      <c r="I86" s="1">
        <v>5.3</v>
      </c>
      <c r="J86" s="1">
        <v>6.4</v>
      </c>
      <c r="K86" s="16" t="s">
        <v>13</v>
      </c>
      <c r="L86" s="22">
        <f>(Table1[[#This Row],[Age Adjusted Rate]]-$N$8)/SQRT($N$12^2 + (SQRT(Table1[[#This Row],[Case Count]])/Table1[[#This Row],[Census Population]])^2)</f>
        <v>-3.4543661253756248E-2</v>
      </c>
      <c r="M86" s="22" t="s">
        <v>146</v>
      </c>
    </row>
    <row r="87" spans="1:13" ht="13.5" thickBot="1">
      <c r="A87" s="10" t="s">
        <v>96</v>
      </c>
      <c r="B87" s="2" t="s">
        <v>22</v>
      </c>
      <c r="C87" s="2" t="s">
        <v>11</v>
      </c>
      <c r="D87" s="3">
        <v>406</v>
      </c>
      <c r="E87" s="4">
        <v>5.6730262960299997</v>
      </c>
      <c r="F87" s="5">
        <v>715667.40362909704</v>
      </c>
      <c r="G87" s="4">
        <v>5.8055483131149996</v>
      </c>
      <c r="H87" s="6" t="s">
        <v>102</v>
      </c>
      <c r="I87" s="1">
        <v>5.2</v>
      </c>
      <c r="J87" s="1">
        <v>6.4</v>
      </c>
      <c r="K87" s="16" t="s">
        <v>13</v>
      </c>
      <c r="L87" s="22">
        <f>(Table1[[#This Row],[Age Adjusted Rate]]-$N$8)/SQRT($N$12^2 + (SQRT(Table1[[#This Row],[Case Count]])/Table1[[#This Row],[Census Population]])^2)</f>
        <v>-3.5208364171669553E-2</v>
      </c>
      <c r="M87" s="22" t="s">
        <v>146</v>
      </c>
    </row>
    <row r="88" spans="1:13" ht="13.5" thickBot="1">
      <c r="A88" s="10" t="s">
        <v>96</v>
      </c>
      <c r="B88" s="2" t="s">
        <v>24</v>
      </c>
      <c r="C88" s="2" t="s">
        <v>11</v>
      </c>
      <c r="D88" s="3">
        <v>174</v>
      </c>
      <c r="E88" s="4">
        <v>2.3967569414679999</v>
      </c>
      <c r="F88" s="5">
        <v>725980.99953079096</v>
      </c>
      <c r="G88" s="4">
        <v>2.3375792679680001</v>
      </c>
      <c r="H88" s="6" t="s">
        <v>103</v>
      </c>
      <c r="I88" s="1">
        <v>2</v>
      </c>
      <c r="J88" s="1">
        <v>2.7</v>
      </c>
      <c r="K88" s="16" t="s">
        <v>13</v>
      </c>
      <c r="L88" s="22">
        <f>(Table1[[#This Row],[Age Adjusted Rate]]-$N$8)/SQRT($N$12^2 + (SQRT(Table1[[#This Row],[Case Count]])/Table1[[#This Row],[Census Population]])^2)</f>
        <v>-0.11536425247930975</v>
      </c>
      <c r="M88" s="22" t="s">
        <v>146</v>
      </c>
    </row>
    <row r="89" spans="1:13" ht="13.5" thickBot="1">
      <c r="A89" s="10" t="s">
        <v>96</v>
      </c>
      <c r="B89" s="2" t="s">
        <v>26</v>
      </c>
      <c r="C89" s="2" t="s">
        <v>11</v>
      </c>
      <c r="D89" s="3">
        <v>235</v>
      </c>
      <c r="E89" s="4">
        <v>3.2369993175010001</v>
      </c>
      <c r="F89" s="5">
        <v>725980.99953079096</v>
      </c>
      <c r="G89" s="4">
        <v>3.5090826571070002</v>
      </c>
      <c r="H89" s="6" t="s">
        <v>104</v>
      </c>
      <c r="I89" s="1">
        <v>3.1</v>
      </c>
      <c r="J89" s="1">
        <v>4</v>
      </c>
      <c r="K89" s="16" t="s">
        <v>13</v>
      </c>
      <c r="L89" s="22">
        <f>(Table1[[#This Row],[Age Adjusted Rate]]-$N$8)/SQRT($N$12^2 + (SQRT(Table1[[#This Row],[Case Count]])/Table1[[#This Row],[Census Population]])^2)</f>
        <v>-8.828705150392685E-2</v>
      </c>
      <c r="M89" s="22" t="s">
        <v>146</v>
      </c>
    </row>
    <row r="90" spans="1:13" ht="13.5" hidden="1" thickBot="1">
      <c r="A90" s="10" t="s">
        <v>105</v>
      </c>
      <c r="B90" s="7" t="s">
        <v>10</v>
      </c>
      <c r="C90" s="7" t="s">
        <v>11</v>
      </c>
      <c r="D90" s="3">
        <v>591</v>
      </c>
      <c r="E90" s="4">
        <v>11.603682099112</v>
      </c>
      <c r="F90" s="3">
        <v>509321.08873025799</v>
      </c>
      <c r="G90" s="4">
        <v>11.738193174139999</v>
      </c>
      <c r="H90" s="6" t="s">
        <v>106</v>
      </c>
      <c r="I90" s="1">
        <v>10.8</v>
      </c>
      <c r="J90" s="1">
        <v>12.7</v>
      </c>
      <c r="K90" s="19" t="s">
        <v>46</v>
      </c>
      <c r="L90" s="1">
        <f>(Table1[[#This Row],[Age Adjusted Rate]]-$N$8)/SQRT($N$12^2 + (SQRT(Table1[[#This Row],[Case Count]])/Table1[[#This Row],[Census Population]])^2)</f>
        <v>0.10191408780478217</v>
      </c>
      <c r="M90" s="1"/>
    </row>
    <row r="91" spans="1:13" ht="13.5" thickBot="1">
      <c r="A91" s="10" t="s">
        <v>105</v>
      </c>
      <c r="B91" s="2" t="s">
        <v>14</v>
      </c>
      <c r="C91" s="2" t="s">
        <v>11</v>
      </c>
      <c r="D91" s="3">
        <v>568</v>
      </c>
      <c r="E91" s="4">
        <v>11.076844636622001</v>
      </c>
      <c r="F91" s="5">
        <v>512781.408996257</v>
      </c>
      <c r="G91" s="4">
        <v>10.928602527394</v>
      </c>
      <c r="H91" s="6" t="s">
        <v>107</v>
      </c>
      <c r="I91" s="1">
        <v>10</v>
      </c>
      <c r="J91" s="1">
        <v>11.8</v>
      </c>
      <c r="K91" s="19" t="s">
        <v>46</v>
      </c>
      <c r="L91" s="22">
        <f>(Table1[[#This Row],[Age Adjusted Rate]]-$N$8)/SQRT($N$12^2 + (SQRT(Table1[[#This Row],[Case Count]])/Table1[[#This Row],[Census Population]])^2)</f>
        <v>8.3201851158308485E-2</v>
      </c>
      <c r="M91" s="22" t="s">
        <v>146</v>
      </c>
    </row>
    <row r="92" spans="1:13" ht="13.5" thickBot="1">
      <c r="A92" s="10" t="s">
        <v>105</v>
      </c>
      <c r="B92" s="2" t="s">
        <v>16</v>
      </c>
      <c r="C92" s="2" t="s">
        <v>11</v>
      </c>
      <c r="D92" s="3">
        <v>398</v>
      </c>
      <c r="E92" s="4">
        <v>7.7100745728289999</v>
      </c>
      <c r="F92" s="5">
        <v>516207.71788971598</v>
      </c>
      <c r="G92" s="4">
        <v>8.085427246419</v>
      </c>
      <c r="H92" s="6" t="s">
        <v>108</v>
      </c>
      <c r="I92" s="1">
        <v>7.3</v>
      </c>
      <c r="J92" s="1">
        <v>8.9</v>
      </c>
      <c r="K92" s="19" t="s">
        <v>46</v>
      </c>
      <c r="L92" s="22">
        <f>(Table1[[#This Row],[Age Adjusted Rate]]-$N$8)/SQRT($N$12^2 + (SQRT(Table1[[#This Row],[Case Count]])/Table1[[#This Row],[Census Population]])^2)</f>
        <v>1.7486950796191496E-2</v>
      </c>
      <c r="M92" s="22" t="s">
        <v>146</v>
      </c>
    </row>
    <row r="93" spans="1:13" ht="13.5" thickBot="1">
      <c r="A93" s="10" t="s">
        <v>105</v>
      </c>
      <c r="B93" s="2" t="s">
        <v>18</v>
      </c>
      <c r="C93" s="2" t="s">
        <v>11</v>
      </c>
      <c r="D93" s="3">
        <v>419</v>
      </c>
      <c r="E93" s="4">
        <v>8.0493664474479996</v>
      </c>
      <c r="F93" s="5">
        <v>520537.861874622</v>
      </c>
      <c r="G93" s="4">
        <v>8.3515723163879994</v>
      </c>
      <c r="H93" s="6" t="s">
        <v>109</v>
      </c>
      <c r="I93" s="1">
        <v>7.6</v>
      </c>
      <c r="J93" s="1">
        <v>9.1999999999999993</v>
      </c>
      <c r="K93" s="19" t="s">
        <v>46</v>
      </c>
      <c r="L93" s="22">
        <f>(Table1[[#This Row],[Age Adjusted Rate]]-$N$8)/SQRT($N$12^2 + (SQRT(Table1[[#This Row],[Case Count]])/Table1[[#This Row],[Census Population]])^2)</f>
        <v>2.3638417036038219E-2</v>
      </c>
      <c r="M93" s="22" t="s">
        <v>146</v>
      </c>
    </row>
    <row r="94" spans="1:13" ht="13.5" thickBot="1">
      <c r="A94" s="10" t="s">
        <v>105</v>
      </c>
      <c r="B94" s="2" t="s">
        <v>20</v>
      </c>
      <c r="C94" s="2" t="s">
        <v>11</v>
      </c>
      <c r="D94" s="3">
        <v>398</v>
      </c>
      <c r="E94" s="4">
        <v>7.5856471590219998</v>
      </c>
      <c r="F94" s="5">
        <v>524675.07604362001</v>
      </c>
      <c r="G94" s="4">
        <v>7.7609769400499999</v>
      </c>
      <c r="H94" s="6" t="s">
        <v>110</v>
      </c>
      <c r="I94" s="1">
        <v>7</v>
      </c>
      <c r="J94" s="1">
        <v>8.5</v>
      </c>
      <c r="K94" s="19" t="s">
        <v>46</v>
      </c>
      <c r="L94" s="22">
        <f>(Table1[[#This Row],[Age Adjusted Rate]]-$N$8)/SQRT($N$12^2 + (SQRT(Table1[[#This Row],[Case Count]])/Table1[[#This Row],[Census Population]])^2)</f>
        <v>9.9878635263450834E-3</v>
      </c>
      <c r="M94" s="22" t="s">
        <v>146</v>
      </c>
    </row>
    <row r="95" spans="1:13" ht="13.5" thickBot="1">
      <c r="A95" s="10" t="s">
        <v>105</v>
      </c>
      <c r="B95" s="2" t="s">
        <v>22</v>
      </c>
      <c r="C95" s="2" t="s">
        <v>11</v>
      </c>
      <c r="D95" s="3">
        <v>397</v>
      </c>
      <c r="E95" s="4">
        <v>7.5143181975909998</v>
      </c>
      <c r="F95" s="5">
        <v>528324.71231689397</v>
      </c>
      <c r="G95" s="4">
        <v>7.5053018649889998</v>
      </c>
      <c r="H95" s="6" t="s">
        <v>111</v>
      </c>
      <c r="I95" s="1">
        <v>6.8</v>
      </c>
      <c r="J95" s="1">
        <v>8.1999999999999993</v>
      </c>
      <c r="K95" s="19" t="s">
        <v>46</v>
      </c>
      <c r="L95" s="22">
        <f>(Table1[[#This Row],[Age Adjusted Rate]]-$N$8)/SQRT($N$12^2 + (SQRT(Table1[[#This Row],[Case Count]])/Table1[[#This Row],[Census Population]])^2)</f>
        <v>4.078392451824276E-3</v>
      </c>
      <c r="M95" s="22" t="s">
        <v>146</v>
      </c>
    </row>
    <row r="96" spans="1:13" ht="13.5" thickBot="1">
      <c r="A96" s="10" t="s">
        <v>105</v>
      </c>
      <c r="B96" s="2" t="s">
        <v>24</v>
      </c>
      <c r="C96" s="2" t="s">
        <v>11</v>
      </c>
      <c r="D96" s="3">
        <v>248</v>
      </c>
      <c r="E96" s="4">
        <v>4.6720256827149997</v>
      </c>
      <c r="F96" s="5">
        <v>530818.99981307902</v>
      </c>
      <c r="G96" s="4">
        <v>4.6354033618840003</v>
      </c>
      <c r="H96" s="6" t="s">
        <v>112</v>
      </c>
      <c r="I96" s="1">
        <v>4.0999999999999996</v>
      </c>
      <c r="J96" s="1">
        <v>5.2</v>
      </c>
      <c r="K96" s="18" t="s">
        <v>39</v>
      </c>
      <c r="L96" s="22">
        <f>(Table1[[#This Row],[Age Adjusted Rate]]-$N$8)/SQRT($N$12^2 + (SQRT(Table1[[#This Row],[Case Count]])/Table1[[#This Row],[Census Population]])^2)</f>
        <v>-6.2254167289737344E-2</v>
      </c>
      <c r="M96" s="22" t="s">
        <v>146</v>
      </c>
    </row>
    <row r="97" spans="1:13" ht="13.5" thickBot="1">
      <c r="A97" s="10" t="s">
        <v>105</v>
      </c>
      <c r="B97" s="2" t="s">
        <v>26</v>
      </c>
      <c r="C97" s="2" t="s">
        <v>11</v>
      </c>
      <c r="D97" s="3">
        <v>278</v>
      </c>
      <c r="E97" s="4">
        <v>5.2371900798180002</v>
      </c>
      <c r="F97" s="5">
        <v>530818.99981307902</v>
      </c>
      <c r="G97" s="4">
        <v>5.4580642960979997</v>
      </c>
      <c r="H97" s="6" t="s">
        <v>113</v>
      </c>
      <c r="I97" s="1">
        <v>4.8</v>
      </c>
      <c r="J97" s="1">
        <v>6.1</v>
      </c>
      <c r="K97" s="18" t="s">
        <v>39</v>
      </c>
      <c r="L97" s="22">
        <f>(Table1[[#This Row],[Age Adjusted Rate]]-$N$8)/SQRT($N$12^2 + (SQRT(Table1[[#This Row],[Case Count]])/Table1[[#This Row],[Census Population]])^2)</f>
        <v>-4.3239834376303812E-2</v>
      </c>
      <c r="M97" s="22" t="s">
        <v>146</v>
      </c>
    </row>
    <row r="98" spans="1:13" ht="13.5" hidden="1" thickBot="1">
      <c r="A98" s="10" t="s">
        <v>114</v>
      </c>
      <c r="B98" s="7" t="s">
        <v>10</v>
      </c>
      <c r="C98" s="7" t="s">
        <v>11</v>
      </c>
      <c r="D98" s="3">
        <v>1322</v>
      </c>
      <c r="E98" s="4">
        <v>17.079916138405</v>
      </c>
      <c r="F98" s="3">
        <v>774008.48416779295</v>
      </c>
      <c r="G98" s="4">
        <v>19.759423645121</v>
      </c>
      <c r="H98" s="6" t="s">
        <v>115</v>
      </c>
      <c r="I98" s="1">
        <v>18.7</v>
      </c>
      <c r="J98" s="1">
        <v>20.8</v>
      </c>
      <c r="K98" s="17" t="s">
        <v>39</v>
      </c>
      <c r="L98" s="1">
        <f>(Table1[[#This Row],[Age Adjusted Rate]]-$N$8)/SQRT($N$12^2 + (SQRT(Table1[[#This Row],[Case Count]])/Table1[[#This Row],[Census Population]])^2)</f>
        <v>0.28731045246414139</v>
      </c>
      <c r="M98" s="1"/>
    </row>
    <row r="99" spans="1:13" ht="13.5" thickBot="1">
      <c r="A99" s="10" t="s">
        <v>114</v>
      </c>
      <c r="B99" s="2" t="s">
        <v>14</v>
      </c>
      <c r="C99" s="2" t="s">
        <v>11</v>
      </c>
      <c r="D99" s="3">
        <v>1174</v>
      </c>
      <c r="E99" s="4">
        <v>14.965928565752</v>
      </c>
      <c r="F99" s="5">
        <v>784448.48566663999</v>
      </c>
      <c r="G99" s="4">
        <v>17.448715968407999</v>
      </c>
      <c r="H99" s="6" t="s">
        <v>116</v>
      </c>
      <c r="I99" s="1">
        <v>16.5</v>
      </c>
      <c r="J99" s="1">
        <v>18.399999999999999</v>
      </c>
      <c r="K99" s="18" t="s">
        <v>39</v>
      </c>
      <c r="L99" s="22">
        <f>(Table1[[#This Row],[Age Adjusted Rate]]-$N$8)/SQRT($N$12^2 + (SQRT(Table1[[#This Row],[Case Count]])/Table1[[#This Row],[Census Population]])^2)</f>
        <v>0.23390258635148536</v>
      </c>
      <c r="M99" s="22" t="s">
        <v>146</v>
      </c>
    </row>
    <row r="100" spans="1:13" ht="13.5" thickBot="1">
      <c r="A100" s="10" t="s">
        <v>114</v>
      </c>
      <c r="B100" s="2" t="s">
        <v>16</v>
      </c>
      <c r="C100" s="2" t="s">
        <v>11</v>
      </c>
      <c r="D100" s="3">
        <v>853</v>
      </c>
      <c r="E100" s="4">
        <v>10.700692693793</v>
      </c>
      <c r="F100" s="5">
        <v>797144.65634053398</v>
      </c>
      <c r="G100" s="4">
        <v>12.607233552446001</v>
      </c>
      <c r="H100" s="6" t="s">
        <v>117</v>
      </c>
      <c r="I100" s="1">
        <v>11.8</v>
      </c>
      <c r="J100" s="1">
        <v>13.5</v>
      </c>
      <c r="K100" s="18" t="s">
        <v>39</v>
      </c>
      <c r="L100" s="22">
        <f>(Table1[[#This Row],[Age Adjusted Rate]]-$N$8)/SQRT($N$12^2 + (SQRT(Table1[[#This Row],[Case Count]])/Table1[[#This Row],[Census Population]])^2)</f>
        <v>0.12200039843545804</v>
      </c>
      <c r="M100" s="22" t="s">
        <v>146</v>
      </c>
    </row>
    <row r="101" spans="1:13" ht="13.5" thickBot="1">
      <c r="A101" s="10" t="s">
        <v>114</v>
      </c>
      <c r="B101" s="2" t="s">
        <v>18</v>
      </c>
      <c r="C101" s="2" t="s">
        <v>11</v>
      </c>
      <c r="D101" s="3">
        <v>818</v>
      </c>
      <c r="E101" s="4">
        <v>10.156710672293</v>
      </c>
      <c r="F101" s="5">
        <v>805378.85383647296</v>
      </c>
      <c r="G101" s="4">
        <v>11.826535314661999</v>
      </c>
      <c r="H101" s="6" t="s">
        <v>118</v>
      </c>
      <c r="I101" s="1">
        <v>11</v>
      </c>
      <c r="J101" s="1">
        <v>12.6</v>
      </c>
      <c r="K101" s="18" t="s">
        <v>39</v>
      </c>
      <c r="L101" s="22">
        <f>(Table1[[#This Row],[Age Adjusted Rate]]-$N$8)/SQRT($N$12^2 + (SQRT(Table1[[#This Row],[Case Count]])/Table1[[#This Row],[Census Population]])^2)</f>
        <v>0.10395595803385542</v>
      </c>
      <c r="M101" s="22" t="s">
        <v>146</v>
      </c>
    </row>
    <row r="102" spans="1:13" ht="13.5" thickBot="1">
      <c r="A102" s="10" t="s">
        <v>114</v>
      </c>
      <c r="B102" s="2" t="s">
        <v>20</v>
      </c>
      <c r="C102" s="2" t="s">
        <v>11</v>
      </c>
      <c r="D102" s="3">
        <v>772</v>
      </c>
      <c r="E102" s="4">
        <v>9.5406430060409999</v>
      </c>
      <c r="F102" s="5">
        <v>809169.779763386</v>
      </c>
      <c r="G102" s="4">
        <v>11.219432007062</v>
      </c>
      <c r="H102" s="6" t="s">
        <v>119</v>
      </c>
      <c r="I102" s="1">
        <v>10.4</v>
      </c>
      <c r="J102" s="1">
        <v>12</v>
      </c>
      <c r="K102" s="18" t="s">
        <v>39</v>
      </c>
      <c r="L102" s="22">
        <f>(Table1[[#This Row],[Age Adjusted Rate]]-$N$8)/SQRT($N$12^2 + (SQRT(Table1[[#This Row],[Case Count]])/Table1[[#This Row],[Census Population]])^2)</f>
        <v>8.9923853282730046E-2</v>
      </c>
      <c r="M102" s="22" t="s">
        <v>146</v>
      </c>
    </row>
    <row r="103" spans="1:13" ht="13.5" thickBot="1">
      <c r="A103" s="10" t="s">
        <v>114</v>
      </c>
      <c r="B103" s="2" t="s">
        <v>22</v>
      </c>
      <c r="C103" s="2" t="s">
        <v>11</v>
      </c>
      <c r="D103" s="3">
        <v>691</v>
      </c>
      <c r="E103" s="4">
        <v>8.5137148251279999</v>
      </c>
      <c r="F103" s="5">
        <v>811631.60170746199</v>
      </c>
      <c r="G103" s="4">
        <v>9.7294802668480003</v>
      </c>
      <c r="H103" s="6" t="s">
        <v>120</v>
      </c>
      <c r="I103" s="1">
        <v>9</v>
      </c>
      <c r="J103" s="1">
        <v>10.5</v>
      </c>
      <c r="K103" s="18" t="s">
        <v>39</v>
      </c>
      <c r="L103" s="22">
        <f>(Table1[[#This Row],[Age Adjusted Rate]]-$N$8)/SQRT($N$12^2 + (SQRT(Table1[[#This Row],[Case Count]])/Table1[[#This Row],[Census Population]])^2)</f>
        <v>5.5486289475909813E-2</v>
      </c>
      <c r="M103" s="22" t="s">
        <v>146</v>
      </c>
    </row>
    <row r="104" spans="1:13" ht="13.5" thickBot="1">
      <c r="A104" s="10" t="s">
        <v>114</v>
      </c>
      <c r="B104" s="2" t="s">
        <v>24</v>
      </c>
      <c r="C104" s="2" t="s">
        <v>11</v>
      </c>
      <c r="D104" s="3">
        <v>371</v>
      </c>
      <c r="E104" s="4">
        <v>4.6494957040599996</v>
      </c>
      <c r="F104" s="5">
        <v>797935.99911499</v>
      </c>
      <c r="G104" s="4">
        <v>5.2466883418689996</v>
      </c>
      <c r="H104" s="6" t="s">
        <v>121</v>
      </c>
      <c r="I104" s="1">
        <v>4.7</v>
      </c>
      <c r="J104" s="1">
        <v>5.8</v>
      </c>
      <c r="K104" s="18" t="s">
        <v>39</v>
      </c>
      <c r="L104" s="22">
        <f>(Table1[[#This Row],[Age Adjusted Rate]]-$N$8)/SQRT($N$12^2 + (SQRT(Table1[[#This Row],[Case Count]])/Table1[[#This Row],[Census Population]])^2)</f>
        <v>-4.8125410676883661E-2</v>
      </c>
      <c r="M104" s="22" t="s">
        <v>146</v>
      </c>
    </row>
    <row r="105" spans="1:13" ht="13.5" thickBot="1">
      <c r="A105" s="10" t="s">
        <v>114</v>
      </c>
      <c r="B105" s="2" t="s">
        <v>26</v>
      </c>
      <c r="C105" s="2" t="s">
        <v>11</v>
      </c>
      <c r="D105" s="3">
        <v>549</v>
      </c>
      <c r="E105" s="4">
        <v>6.8802510553339999</v>
      </c>
      <c r="F105" s="5">
        <v>797935.99911499</v>
      </c>
      <c r="G105" s="4">
        <v>8.1911954561330003</v>
      </c>
      <c r="H105" s="6" t="s">
        <v>122</v>
      </c>
      <c r="I105" s="1">
        <v>7.5</v>
      </c>
      <c r="J105" s="1">
        <v>8.9</v>
      </c>
      <c r="K105" s="18" t="s">
        <v>39</v>
      </c>
      <c r="L105" s="22">
        <f>(Table1[[#This Row],[Age Adjusted Rate]]-$N$8)/SQRT($N$12^2 + (SQRT(Table1[[#This Row],[Case Count]])/Table1[[#This Row],[Census Population]])^2)</f>
        <v>1.9931593379206154E-2</v>
      </c>
      <c r="M105" s="22" t="s">
        <v>146</v>
      </c>
    </row>
    <row r="106" spans="1:13" ht="13.5" hidden="1" thickBot="1">
      <c r="A106" s="10" t="s">
        <v>123</v>
      </c>
      <c r="B106" s="7" t="s">
        <v>10</v>
      </c>
      <c r="C106" s="7" t="s">
        <v>11</v>
      </c>
      <c r="D106" s="3">
        <v>1030</v>
      </c>
      <c r="E106" s="4">
        <v>12.575376904343001</v>
      </c>
      <c r="F106" s="3">
        <v>819060.93776339502</v>
      </c>
      <c r="G106" s="4">
        <v>12.172833014596</v>
      </c>
      <c r="H106" s="6" t="s">
        <v>124</v>
      </c>
      <c r="I106" s="1">
        <v>11.4</v>
      </c>
      <c r="J106" s="1">
        <v>12.9</v>
      </c>
      <c r="K106" s="19" t="s">
        <v>46</v>
      </c>
      <c r="L106" s="1">
        <f>(Table1[[#This Row],[Age Adjusted Rate]]-$N$8)/SQRT($N$12^2 + (SQRT(Table1[[#This Row],[Case Count]])/Table1[[#This Row],[Census Population]])^2)</f>
        <v>0.1119600086455266</v>
      </c>
      <c r="M106" s="1"/>
    </row>
    <row r="107" spans="1:13" ht="13.5" thickBot="1">
      <c r="A107" s="10" t="s">
        <v>123</v>
      </c>
      <c r="B107" s="2" t="s">
        <v>14</v>
      </c>
      <c r="C107" s="2" t="s">
        <v>11</v>
      </c>
      <c r="D107" s="3">
        <v>944</v>
      </c>
      <c r="E107" s="4">
        <v>11.468056545845</v>
      </c>
      <c r="F107" s="5">
        <v>823156.03888608306</v>
      </c>
      <c r="G107" s="4">
        <v>11.219596935327001</v>
      </c>
      <c r="H107" s="6" t="s">
        <v>125</v>
      </c>
      <c r="I107" s="1">
        <v>10.5</v>
      </c>
      <c r="J107" s="1">
        <v>11.9</v>
      </c>
      <c r="K107" s="19" t="s">
        <v>46</v>
      </c>
      <c r="L107" s="22">
        <f>(Table1[[#This Row],[Age Adjusted Rate]]-$N$8)/SQRT($N$12^2 + (SQRT(Table1[[#This Row],[Case Count]])/Table1[[#This Row],[Census Population]])^2)</f>
        <v>8.9927665303944262E-2</v>
      </c>
      <c r="M107" s="22" t="s">
        <v>146</v>
      </c>
    </row>
    <row r="108" spans="1:13" ht="13.5" thickBot="1">
      <c r="A108" s="10" t="s">
        <v>123</v>
      </c>
      <c r="B108" s="2" t="s">
        <v>16</v>
      </c>
      <c r="C108" s="2" t="s">
        <v>11</v>
      </c>
      <c r="D108" s="3">
        <v>579</v>
      </c>
      <c r="E108" s="4">
        <v>7.0063765325659997</v>
      </c>
      <c r="F108" s="5">
        <v>826390.07097138197</v>
      </c>
      <c r="G108" s="4">
        <v>7.1860648881970004</v>
      </c>
      <c r="H108" s="6" t="s">
        <v>126</v>
      </c>
      <c r="I108" s="1">
        <v>6.6</v>
      </c>
      <c r="J108" s="1">
        <v>7.8</v>
      </c>
      <c r="K108" s="19" t="s">
        <v>46</v>
      </c>
      <c r="L108" s="22">
        <f>(Table1[[#This Row],[Age Adjusted Rate]]-$N$8)/SQRT($N$12^2 + (SQRT(Table1[[#This Row],[Case Count]])/Table1[[#This Row],[Census Population]])^2)</f>
        <v>-3.3001980494979403E-3</v>
      </c>
      <c r="M108" s="22" t="s">
        <v>146</v>
      </c>
    </row>
    <row r="109" spans="1:13" ht="13.5" thickBot="1">
      <c r="A109" s="10" t="s">
        <v>123</v>
      </c>
      <c r="B109" s="2" t="s">
        <v>18</v>
      </c>
      <c r="C109" s="2" t="s">
        <v>11</v>
      </c>
      <c r="D109" s="3">
        <v>685</v>
      </c>
      <c r="E109" s="4">
        <v>8.2283621195949994</v>
      </c>
      <c r="F109" s="5">
        <v>832486.45361478103</v>
      </c>
      <c r="G109" s="4">
        <v>8.5895679647259993</v>
      </c>
      <c r="H109" s="6" t="s">
        <v>127</v>
      </c>
      <c r="I109" s="1">
        <v>7.9</v>
      </c>
      <c r="J109" s="1">
        <v>9.1999999999999993</v>
      </c>
      <c r="K109" s="19" t="s">
        <v>46</v>
      </c>
      <c r="L109" s="22">
        <f>(Table1[[#This Row],[Age Adjusted Rate]]-$N$8)/SQRT($N$12^2 + (SQRT(Table1[[#This Row],[Case Count]])/Table1[[#This Row],[Census Population]])^2)</f>
        <v>2.9139259851399719E-2</v>
      </c>
      <c r="M109" s="22" t="s">
        <v>146</v>
      </c>
    </row>
    <row r="110" spans="1:13" ht="13.5" thickBot="1">
      <c r="A110" s="10" t="s">
        <v>123</v>
      </c>
      <c r="B110" s="2" t="s">
        <v>20</v>
      </c>
      <c r="C110" s="2" t="s">
        <v>11</v>
      </c>
      <c r="D110" s="3">
        <v>570</v>
      </c>
      <c r="E110" s="4">
        <v>6.8162096779820001</v>
      </c>
      <c r="F110" s="5">
        <v>836241.88064688805</v>
      </c>
      <c r="G110" s="4">
        <v>7.0799826312369998</v>
      </c>
      <c r="H110" s="6" t="s">
        <v>128</v>
      </c>
      <c r="I110" s="1">
        <v>6.5</v>
      </c>
      <c r="J110" s="1">
        <v>7.7</v>
      </c>
      <c r="K110" s="19" t="s">
        <v>46</v>
      </c>
      <c r="L110" s="22">
        <f>(Table1[[#This Row],[Age Adjusted Rate]]-$N$8)/SQRT($N$12^2 + (SQRT(Table1[[#This Row],[Case Count]])/Table1[[#This Row],[Census Population]])^2)</f>
        <v>-5.7520992716861286E-3</v>
      </c>
      <c r="M110" s="22" t="s">
        <v>146</v>
      </c>
    </row>
    <row r="111" spans="1:13" ht="13.5" thickBot="1">
      <c r="A111" s="10" t="s">
        <v>123</v>
      </c>
      <c r="B111" s="2" t="s">
        <v>22</v>
      </c>
      <c r="C111" s="2" t="s">
        <v>11</v>
      </c>
      <c r="D111" s="3">
        <v>657</v>
      </c>
      <c r="E111" s="4">
        <v>7.84297190809</v>
      </c>
      <c r="F111" s="5">
        <v>837692.66000076605</v>
      </c>
      <c r="G111" s="4">
        <v>7.8562107929589997</v>
      </c>
      <c r="H111" s="6" t="s">
        <v>129</v>
      </c>
      <c r="I111" s="1">
        <v>7.3</v>
      </c>
      <c r="J111" s="1">
        <v>8.5</v>
      </c>
      <c r="K111" s="19" t="s">
        <v>46</v>
      </c>
      <c r="L111" s="22">
        <f>(Table1[[#This Row],[Age Adjusted Rate]]-$N$8)/SQRT($N$12^2 + (SQRT(Table1[[#This Row],[Case Count]])/Table1[[#This Row],[Census Population]])^2)</f>
        <v>1.2189023334148246E-2</v>
      </c>
      <c r="M111" s="22" t="s">
        <v>146</v>
      </c>
    </row>
    <row r="112" spans="1:13" ht="13.5" thickBot="1">
      <c r="A112" s="10" t="s">
        <v>123</v>
      </c>
      <c r="B112" s="2" t="s">
        <v>24</v>
      </c>
      <c r="C112" s="2" t="s">
        <v>11</v>
      </c>
      <c r="D112" s="3">
        <v>352</v>
      </c>
      <c r="E112" s="4">
        <v>4.0830009067270003</v>
      </c>
      <c r="F112" s="5">
        <v>862111.001298188</v>
      </c>
      <c r="G112" s="4">
        <v>3.8832407557709998</v>
      </c>
      <c r="H112" s="6" t="s">
        <v>130</v>
      </c>
      <c r="I112" s="1">
        <v>3.5</v>
      </c>
      <c r="J112" s="1">
        <v>4.3</v>
      </c>
      <c r="K112" s="19" t="s">
        <v>46</v>
      </c>
      <c r="L112" s="22">
        <f>(Table1[[#This Row],[Age Adjusted Rate]]-$N$8)/SQRT($N$12^2 + (SQRT(Table1[[#This Row],[Case Count]])/Table1[[#This Row],[Census Population]])^2)</f>
        <v>-7.9639057714051831E-2</v>
      </c>
      <c r="M112" s="22" t="s">
        <v>146</v>
      </c>
    </row>
    <row r="113" spans="1:15" ht="13.5" thickBot="1">
      <c r="A113" s="10" t="s">
        <v>123</v>
      </c>
      <c r="B113" s="2" t="s">
        <v>26</v>
      </c>
      <c r="C113" s="2" t="s">
        <v>11</v>
      </c>
      <c r="D113" s="3">
        <v>364</v>
      </c>
      <c r="E113" s="4">
        <v>4.2221941194559998</v>
      </c>
      <c r="F113" s="5">
        <v>862111.001298188</v>
      </c>
      <c r="G113" s="4">
        <v>4.487455536053</v>
      </c>
      <c r="H113" s="6" t="s">
        <v>57</v>
      </c>
      <c r="I113" s="1">
        <v>4</v>
      </c>
      <c r="J113" s="1">
        <v>4.9000000000000004</v>
      </c>
      <c r="K113" s="19" t="s">
        <v>46</v>
      </c>
      <c r="L113" s="22">
        <f>(Table1[[#This Row],[Age Adjusted Rate]]-$N$8)/SQRT($N$12^2 + (SQRT(Table1[[#This Row],[Case Count]])/Table1[[#This Row],[Census Population]])^2)</f>
        <v>-6.567371609432783E-2</v>
      </c>
      <c r="M113" s="22" t="s">
        <v>146</v>
      </c>
    </row>
    <row r="118" spans="1:15" ht="12.75" customHeight="1">
      <c r="A118" s="13" t="s">
        <v>0</v>
      </c>
      <c r="B118" t="s">
        <v>132</v>
      </c>
      <c r="C118" t="s">
        <v>135</v>
      </c>
      <c r="D118" t="s">
        <v>136</v>
      </c>
      <c r="F118" s="13" t="s">
        <v>0</v>
      </c>
      <c r="G118" t="s">
        <v>140</v>
      </c>
      <c r="I118" s="14" t="s">
        <v>141</v>
      </c>
      <c r="J118" s="14" t="s">
        <v>143</v>
      </c>
      <c r="K118" s="14" t="s">
        <v>144</v>
      </c>
      <c r="M118" s="14" t="s">
        <v>143</v>
      </c>
      <c r="N118" s="14" t="s">
        <v>147</v>
      </c>
      <c r="O118" s="14"/>
    </row>
    <row r="119" spans="1:15" ht="12.75" customHeight="1">
      <c r="A119" t="s">
        <v>9</v>
      </c>
      <c r="B119">
        <v>3.9965815069785</v>
      </c>
      <c r="C119">
        <v>3.15</v>
      </c>
      <c r="D119">
        <v>4.8499999999999996</v>
      </c>
      <c r="F119" t="s">
        <v>9</v>
      </c>
      <c r="G119">
        <v>-0.61615511526258526</v>
      </c>
      <c r="I119" t="s">
        <v>142</v>
      </c>
      <c r="J119" t="s">
        <v>9</v>
      </c>
      <c r="K119">
        <v>-0.61615511526258526</v>
      </c>
      <c r="M119" t="s">
        <v>9</v>
      </c>
      <c r="N119" s="23">
        <v>219462.35637249838</v>
      </c>
      <c r="O119" s="23"/>
    </row>
    <row r="120" spans="1:15" ht="12.75" customHeight="1">
      <c r="A120" t="s">
        <v>28</v>
      </c>
      <c r="B120">
        <v>3.7544895947247494</v>
      </c>
      <c r="C120">
        <v>2.6749999999999998</v>
      </c>
      <c r="D120">
        <v>4.8250000000000002</v>
      </c>
      <c r="F120" t="s">
        <v>28</v>
      </c>
      <c r="G120">
        <v>-0.66091928016977475</v>
      </c>
      <c r="I120" t="s">
        <v>142</v>
      </c>
      <c r="J120" t="s">
        <v>28</v>
      </c>
      <c r="K120">
        <v>-0.66091928016977475</v>
      </c>
      <c r="M120" t="s">
        <v>28</v>
      </c>
      <c r="N120" s="23">
        <v>128191.21849765538</v>
      </c>
      <c r="O120" s="23"/>
    </row>
    <row r="121" spans="1:15" ht="12.75" customHeight="1">
      <c r="A121" t="s">
        <v>37</v>
      </c>
      <c r="B121">
        <v>9.0382926892901239</v>
      </c>
      <c r="C121">
        <v>8.2624999999999993</v>
      </c>
      <c r="D121">
        <v>9.8249999999999993</v>
      </c>
      <c r="F121" t="s">
        <v>37</v>
      </c>
      <c r="G121">
        <v>0.31608582033420923</v>
      </c>
      <c r="I121" t="s">
        <v>142</v>
      </c>
      <c r="J121" t="s">
        <v>37</v>
      </c>
      <c r="K121">
        <v>0.31608582033420923</v>
      </c>
      <c r="M121" t="s">
        <v>37</v>
      </c>
      <c r="N121" s="23">
        <v>568340.37343468308</v>
      </c>
      <c r="O121" s="23"/>
    </row>
    <row r="122" spans="1:15" ht="12.75" customHeight="1">
      <c r="A122" t="s">
        <v>47</v>
      </c>
      <c r="B122">
        <v>0</v>
      </c>
      <c r="C122">
        <v>0</v>
      </c>
      <c r="D122">
        <v>3.1</v>
      </c>
      <c r="F122" t="s">
        <v>51</v>
      </c>
      <c r="G122">
        <v>0.35316092676100724</v>
      </c>
      <c r="I122" t="s">
        <v>142</v>
      </c>
      <c r="J122" t="s">
        <v>51</v>
      </c>
      <c r="K122">
        <v>0.35316092676100724</v>
      </c>
      <c r="M122" t="s">
        <v>47</v>
      </c>
      <c r="N122" s="23">
        <v>18190.721013157814</v>
      </c>
      <c r="O122" s="23"/>
    </row>
    <row r="123" spans="1:15" ht="12.75" customHeight="1">
      <c r="A123" t="s">
        <v>51</v>
      </c>
      <c r="B123">
        <v>9.2388009179246247</v>
      </c>
      <c r="C123">
        <v>8.5874999999999986</v>
      </c>
      <c r="D123">
        <v>9.9</v>
      </c>
      <c r="F123" t="s">
        <v>59</v>
      </c>
      <c r="G123">
        <v>-4.88972730855365E-2</v>
      </c>
      <c r="I123" t="s">
        <v>142</v>
      </c>
      <c r="J123" t="s">
        <v>59</v>
      </c>
      <c r="K123">
        <v>-4.88972730855365E-2</v>
      </c>
      <c r="M123" t="s">
        <v>51</v>
      </c>
      <c r="N123" s="23">
        <v>793366.36261548556</v>
      </c>
      <c r="O123" s="23"/>
    </row>
    <row r="124" spans="1:15" ht="12.75" customHeight="1">
      <c r="A124" t="s">
        <v>59</v>
      </c>
      <c r="B124">
        <v>7.0644045309993757</v>
      </c>
      <c r="C124">
        <v>5.0875000000000004</v>
      </c>
      <c r="D124">
        <v>9.0250000000000021</v>
      </c>
      <c r="F124" t="s">
        <v>68</v>
      </c>
      <c r="G124">
        <v>0.77371023027501185</v>
      </c>
      <c r="I124" t="s">
        <v>142</v>
      </c>
      <c r="J124" t="s">
        <v>68</v>
      </c>
      <c r="K124">
        <v>0.77371023027501185</v>
      </c>
      <c r="M124" t="s">
        <v>59</v>
      </c>
      <c r="N124" s="23">
        <v>71347.898761939083</v>
      </c>
      <c r="O124" s="23"/>
    </row>
    <row r="125" spans="1:15" ht="12.75" customHeight="1">
      <c r="A125" t="s">
        <v>68</v>
      </c>
      <c r="B125">
        <v>11.513200212441875</v>
      </c>
      <c r="C125">
        <v>10.55</v>
      </c>
      <c r="D125">
        <v>12.487500000000001</v>
      </c>
      <c r="F125" t="s">
        <v>77</v>
      </c>
      <c r="G125">
        <v>-0.41485721396524861</v>
      </c>
      <c r="I125" t="s">
        <v>142</v>
      </c>
      <c r="J125" t="s">
        <v>77</v>
      </c>
      <c r="K125">
        <v>-0.41485721396524861</v>
      </c>
      <c r="M125" t="s">
        <v>68</v>
      </c>
      <c r="N125" s="23">
        <v>470177.57500348298</v>
      </c>
      <c r="O125" s="23"/>
    </row>
    <row r="126" spans="1:15" ht="12.75" customHeight="1">
      <c r="A126" t="s">
        <v>77</v>
      </c>
      <c r="B126">
        <v>5.0852334221578745</v>
      </c>
      <c r="C126">
        <v>3.9375000000000004</v>
      </c>
      <c r="D126">
        <v>6.2250000000000005</v>
      </c>
      <c r="F126" t="s">
        <v>86</v>
      </c>
      <c r="G126">
        <v>-0.3334133383160216</v>
      </c>
      <c r="I126" t="s">
        <v>142</v>
      </c>
      <c r="J126" t="s">
        <v>86</v>
      </c>
      <c r="K126">
        <v>-0.3334133383160216</v>
      </c>
      <c r="M126" t="s">
        <v>77</v>
      </c>
      <c r="N126" s="23">
        <v>163177.98372183027</v>
      </c>
      <c r="O126" s="23"/>
    </row>
    <row r="127" spans="1:15" ht="12.75" customHeight="1">
      <c r="A127" t="s">
        <v>86</v>
      </c>
      <c r="B127">
        <v>5.5256951986293767</v>
      </c>
      <c r="C127">
        <v>5.1499999999999995</v>
      </c>
      <c r="D127">
        <v>5.8999999999999995</v>
      </c>
      <c r="F127" t="s">
        <v>96</v>
      </c>
      <c r="G127">
        <v>-0.31380553597800387</v>
      </c>
      <c r="I127" t="s">
        <v>142</v>
      </c>
      <c r="J127" t="s">
        <v>96</v>
      </c>
      <c r="K127">
        <v>-0.31380553597800387</v>
      </c>
      <c r="M127" t="s">
        <v>86</v>
      </c>
      <c r="N127" s="23">
        <v>1613085.3973916923</v>
      </c>
      <c r="O127" s="23"/>
    </row>
    <row r="128" spans="1:15" ht="12.75" customHeight="1">
      <c r="A128" t="s">
        <v>95</v>
      </c>
      <c r="B128" t="e">
        <v>#DIV/0!</v>
      </c>
      <c r="C128" t="e">
        <v>#DIV/0!</v>
      </c>
      <c r="F128" t="s">
        <v>105</v>
      </c>
      <c r="G128">
        <v>0.13481356110744858</v>
      </c>
      <c r="I128" t="s">
        <v>142</v>
      </c>
      <c r="J128" t="s">
        <v>105</v>
      </c>
      <c r="K128">
        <v>0.13481356110744858</v>
      </c>
      <c r="M128" t="s">
        <v>95</v>
      </c>
      <c r="N128" s="23">
        <v>11871.728435736339</v>
      </c>
      <c r="O128" s="23"/>
    </row>
    <row r="129" spans="1:15" ht="12.75" customHeight="1">
      <c r="A129" t="s">
        <v>96</v>
      </c>
      <c r="B129">
        <v>5.631737394947125</v>
      </c>
      <c r="C129">
        <v>5.0875000000000004</v>
      </c>
      <c r="D129">
        <v>6.1875</v>
      </c>
      <c r="F129" t="s">
        <v>114</v>
      </c>
      <c r="G129">
        <v>0.8643857207459027</v>
      </c>
      <c r="I129" t="s">
        <v>142</v>
      </c>
      <c r="J129" t="s">
        <v>114</v>
      </c>
      <c r="K129">
        <v>0.8643857207459027</v>
      </c>
      <c r="M129" t="s">
        <v>96</v>
      </c>
      <c r="N129" s="23">
        <v>710486.82145435247</v>
      </c>
      <c r="O129" s="23"/>
    </row>
    <row r="130" spans="1:15" ht="12.75" customHeight="1">
      <c r="A130" t="s">
        <v>105</v>
      </c>
      <c r="B130">
        <v>8.0579427159202499</v>
      </c>
      <c r="C130">
        <v>7.3</v>
      </c>
      <c r="D130">
        <v>8.8249999999999993</v>
      </c>
      <c r="F130" t="s">
        <v>123</v>
      </c>
      <c r="G130">
        <v>8.8850886005455126E-2</v>
      </c>
      <c r="I130" t="s">
        <v>142</v>
      </c>
      <c r="J130" t="s">
        <v>123</v>
      </c>
      <c r="K130">
        <v>8.8850886005455126E-2</v>
      </c>
      <c r="M130" t="s">
        <v>105</v>
      </c>
      <c r="N130" s="23">
        <v>521685.73318469059</v>
      </c>
      <c r="O130" s="23"/>
    </row>
    <row r="131" spans="1:15" ht="12.75" customHeight="1">
      <c r="A131" t="s">
        <v>114</v>
      </c>
      <c r="B131">
        <v>12.003588069068625</v>
      </c>
      <c r="C131">
        <v>11.200000000000001</v>
      </c>
      <c r="D131">
        <v>12.8125</v>
      </c>
      <c r="F131" t="s">
        <v>131</v>
      </c>
      <c r="G131">
        <v>0.14295938845186409</v>
      </c>
      <c r="M131" t="s">
        <v>114</v>
      </c>
      <c r="N131" s="23">
        <v>797206.73246403353</v>
      </c>
      <c r="O131" s="23"/>
    </row>
    <row r="132" spans="1:15" ht="12.75" customHeight="1">
      <c r="A132" t="s">
        <v>123</v>
      </c>
      <c r="B132">
        <v>7.8093690648582497</v>
      </c>
      <c r="C132">
        <v>7.2124999999999995</v>
      </c>
      <c r="D132">
        <v>8.4</v>
      </c>
      <c r="M132" t="s">
        <v>123</v>
      </c>
      <c r="N132" s="23">
        <v>837406.25555995898</v>
      </c>
      <c r="O132" s="23"/>
    </row>
    <row r="133" spans="1:15" ht="12.75" customHeight="1">
      <c r="A133" t="s">
        <v>131</v>
      </c>
      <c r="B133">
        <v>7.3170585829229466</v>
      </c>
      <c r="C133">
        <v>6.4494845360824735</v>
      </c>
      <c r="D133">
        <v>8.2185567010309271</v>
      </c>
    </row>
    <row r="135" spans="1:15" ht="12.75" customHeight="1">
      <c r="A135" s="13" t="s">
        <v>0</v>
      </c>
      <c r="B135" t="s">
        <v>132</v>
      </c>
    </row>
    <row r="136" spans="1:15" ht="12.75" customHeight="1">
      <c r="A136" t="s">
        <v>9</v>
      </c>
      <c r="B136">
        <v>3.9965815069785</v>
      </c>
    </row>
    <row r="137" spans="1:15" ht="12.75" customHeight="1">
      <c r="A137" t="s">
        <v>28</v>
      </c>
      <c r="B137">
        <v>3.7544895947247494</v>
      </c>
    </row>
    <row r="138" spans="1:15" ht="12.75" customHeight="1">
      <c r="A138" t="s">
        <v>37</v>
      </c>
      <c r="B138">
        <v>9.0382926892901239</v>
      </c>
    </row>
    <row r="139" spans="1:15" ht="12.75" customHeight="1">
      <c r="A139" t="s">
        <v>51</v>
      </c>
      <c r="B139">
        <v>9.2388009179246247</v>
      </c>
    </row>
    <row r="140" spans="1:15" ht="12.75" customHeight="1">
      <c r="A140" t="s">
        <v>59</v>
      </c>
      <c r="B140">
        <v>7.0644045309993757</v>
      </c>
    </row>
    <row r="141" spans="1:15" ht="12.75" customHeight="1">
      <c r="A141" t="s">
        <v>68</v>
      </c>
      <c r="B141">
        <v>11.513200212441875</v>
      </c>
    </row>
    <row r="142" spans="1:15" ht="12.75" customHeight="1">
      <c r="A142" t="s">
        <v>77</v>
      </c>
      <c r="B142">
        <v>5.0852334221578745</v>
      </c>
    </row>
    <row r="143" spans="1:15" ht="12.75" customHeight="1">
      <c r="A143" t="s">
        <v>86</v>
      </c>
      <c r="B143">
        <v>5.5256951986293767</v>
      </c>
    </row>
    <row r="144" spans="1:15" ht="12.75" customHeight="1">
      <c r="A144" t="s">
        <v>96</v>
      </c>
      <c r="B144">
        <v>5.631737394947125</v>
      </c>
    </row>
    <row r="145" spans="1:2" ht="12.75" customHeight="1">
      <c r="A145" t="s">
        <v>105</v>
      </c>
      <c r="B145">
        <v>8.0579427159202499</v>
      </c>
    </row>
    <row r="146" spans="1:2" ht="12.75" customHeight="1">
      <c r="A146" t="s">
        <v>114</v>
      </c>
      <c r="B146">
        <v>12.003588069068625</v>
      </c>
    </row>
    <row r="147" spans="1:2" ht="12.75" customHeight="1">
      <c r="A147" t="s">
        <v>123</v>
      </c>
      <c r="B147">
        <v>7.8093690648582514</v>
      </c>
    </row>
    <row r="148" spans="1:2" ht="12.75" customHeight="1">
      <c r="A148" t="s">
        <v>131</v>
      </c>
      <c r="B148">
        <v>7.3932779431617277</v>
      </c>
    </row>
  </sheetData>
  <conditionalFormatting sqref="G2:G1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iconSet" priority="2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drawing r:id="rId4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 and Graph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 Zhong</cp:lastModifiedBy>
  <dcterms:created xsi:type="dcterms:W3CDTF">2025-10-06T03:47:19Z</dcterms:created>
  <dcterms:modified xsi:type="dcterms:W3CDTF">2025-10-06T05:06:16Z</dcterms:modified>
</cp:coreProperties>
</file>