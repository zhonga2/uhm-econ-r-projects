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grtw\AppData\Local\Temp\"/>
    </mc:Choice>
  </mc:AlternateContent>
  <xr:revisionPtr revIDLastSave="0" documentId="13_ncr:1_{DC068671-EB97-4014-BDF6-7564FB2508AC}" xr6:coauthVersionLast="47" xr6:coauthVersionMax="47" xr10:uidLastSave="{00000000-0000-0000-0000-000000000000}"/>
  <bookViews>
    <workbookView xWindow="-109" yWindow="-109" windowWidth="23452" windowHeight="12827" firstSheet="2" activeTab="5" xr2:uid="{00000000-000D-0000-FFFF-FFFF00000000}"/>
  </bookViews>
  <sheets>
    <sheet name="All Values Together" sheetId="1" r:id="rId1"/>
    <sheet name="HIRQGSP" sheetId="2" r:id="rId2"/>
    <sheet name="POILBREUSDQ" sheetId="3" r:id="rId3"/>
    <sheet name="Total Real Visitor Expenditures" sheetId="4" r:id="rId4"/>
    <sheet name="Total_Federal_Obligations" sheetId="5" r:id="rId5"/>
    <sheet name="CPI for all items in Urban HI" sheetId="7" r:id="rId6"/>
  </sheets>
  <definedNames>
    <definedName name="____new2">{"'B-2 QSER Jun 98 4-27-98 cor'!$A$1:$F$57"}</definedName>
    <definedName name="____new5">{"'B-2 QSER Jun 98 4-27-98 cor'!$A$1:$F$57"}</definedName>
    <definedName name="___new2">{"'B-2 QSER Jun 98 4-27-98 cor'!$A$1:$F$57"}</definedName>
    <definedName name="___new5">{"'B-2 QSER Jun 98 4-27-98 cor'!$A$1:$F$57"}</definedName>
    <definedName name="__new2">{"'B-2 QSER Jun 98 4-27-98 cor'!$A$1:$F$57"}</definedName>
    <definedName name="__new5">{"'B-2 QSER Jun 98 4-27-98 cor'!$A$1:$F$57"}</definedName>
    <definedName name="_new2">{"'B-2 QSER Jun 98 4-27-98 cor'!$A$1:$F$57"}</definedName>
    <definedName name="_new5">{"'B-2 QSER Jun 98 4-27-98 cor'!$A$1:$F$57"}</definedName>
    <definedName name="_NST01">#REF!</definedName>
    <definedName name="HTML_CodePage">1252</definedName>
    <definedName name="HTML_Control">{"'B-2 QSER Jun 98 4-27-98 cor'!$A$1:$F$57"}</definedName>
    <definedName name="HTML_Control1">{"'B-2 QSER Jun 98 4-27-98 cor'!$A$1:$F$57"}</definedName>
    <definedName name="HTML_Control2">{"'B-2 QSER Jun 98 4-27-98 cor'!$A$1:$F$57"}</definedName>
    <definedName name="HTML_Control5">{"'B-2 QSER Jun 98 4-27-98 cor'!$A$1:$F$57"}</definedName>
    <definedName name="HTML_Description">""</definedName>
    <definedName name="HTML_Email">"mblewitt@dbedt.hawaii.gov"</definedName>
    <definedName name="HTML_Header">"B-2 QSER Jun 98 4-27-98 corr"</definedName>
    <definedName name="HTML_LastUpdate">"4/27/98"</definedName>
    <definedName name="HTML_LineAfter">FALSE</definedName>
    <definedName name="HTML_LineBefore">FALSE</definedName>
    <definedName name="HTML_Name">"mary blewitt"</definedName>
    <definedName name="HTML_OBDlg2">TRUE</definedName>
    <definedName name="HTML_OBDlg4">TRUE</definedName>
    <definedName name="HTML_OS">0</definedName>
    <definedName name="HTML_PathFile">"E:\QSER Mar98_camera-ready_4-23-98\SQPI97Q4mb_cor.htm"</definedName>
    <definedName name="HTML_Title">"SQPI QSER Jun98 4-27-98 corr"</definedName>
    <definedName name="new">{"'B-2 QSER Jun 98 4-27-98 cor'!$A$1:$F$57"}</definedName>
    <definedName name="Print_Area_MI">#REF!</definedName>
    <definedName name="SMS_print">#REF!</definedName>
    <definedName name="XLS_Isle_Prev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gsOUxladNVOqzy982H7F3fl3Rn7Dt/ngea0jhDFV6n8="/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E3" i="5" l="1"/>
  <c r="E4" i="5"/>
  <c r="E5" i="5"/>
  <c r="E6" i="5"/>
  <c r="E9" i="5"/>
  <c r="E10" i="5"/>
  <c r="E11" i="5"/>
  <c r="E12" i="5"/>
  <c r="E15" i="5"/>
  <c r="E16" i="5"/>
  <c r="E17" i="5"/>
  <c r="E18" i="5"/>
  <c r="E21" i="5"/>
  <c r="E22" i="5"/>
  <c r="E23" i="5"/>
  <c r="E24" i="5"/>
  <c r="E27" i="5"/>
  <c r="E28" i="5"/>
  <c r="E29" i="5"/>
  <c r="E30" i="5"/>
  <c r="E33" i="5"/>
  <c r="E34" i="5"/>
  <c r="E35" i="5"/>
  <c r="E36" i="5"/>
  <c r="E39" i="5"/>
  <c r="E40" i="5"/>
  <c r="E41" i="5"/>
  <c r="E42" i="5"/>
  <c r="E45" i="5"/>
  <c r="E46" i="5"/>
  <c r="E47" i="5"/>
  <c r="E48" i="5"/>
  <c r="E51" i="5"/>
  <c r="E52" i="5"/>
  <c r="E53" i="5"/>
  <c r="E54" i="5"/>
  <c r="E57" i="5"/>
  <c r="E58" i="5"/>
  <c r="E59" i="5"/>
  <c r="E60" i="5"/>
  <c r="E63" i="5"/>
  <c r="E64" i="5"/>
  <c r="E65" i="5"/>
  <c r="E66" i="5"/>
  <c r="E69" i="5"/>
  <c r="E70" i="5"/>
  <c r="E71" i="5"/>
  <c r="D2" i="5"/>
  <c r="D3" i="5"/>
  <c r="D4" i="5"/>
  <c r="D5" i="5"/>
  <c r="D6" i="5"/>
  <c r="D7" i="5"/>
  <c r="E7" i="5" s="1"/>
  <c r="D8" i="5"/>
  <c r="D9" i="5"/>
  <c r="D10" i="5"/>
  <c r="D11" i="5"/>
  <c r="D12" i="5"/>
  <c r="D13" i="5"/>
  <c r="E13" i="5" s="1"/>
  <c r="D14" i="5"/>
  <c r="D15" i="5"/>
  <c r="D16" i="5"/>
  <c r="D17" i="5"/>
  <c r="D18" i="5"/>
  <c r="D19" i="5"/>
  <c r="E19" i="5" s="1"/>
  <c r="D20" i="5"/>
  <c r="D21" i="5"/>
  <c r="D22" i="5"/>
  <c r="D23" i="5"/>
  <c r="D24" i="5"/>
  <c r="D25" i="5"/>
  <c r="E25" i="5" s="1"/>
  <c r="D26" i="5"/>
  <c r="D27" i="5"/>
  <c r="D28" i="5"/>
  <c r="D29" i="5"/>
  <c r="D30" i="5"/>
  <c r="D31" i="5"/>
  <c r="E31" i="5" s="1"/>
  <c r="D32" i="5"/>
  <c r="D33" i="5"/>
  <c r="D34" i="5"/>
  <c r="D35" i="5"/>
  <c r="D36" i="5"/>
  <c r="D37" i="5"/>
  <c r="E37" i="5" s="1"/>
  <c r="D38" i="5"/>
  <c r="D39" i="5"/>
  <c r="D40" i="5"/>
  <c r="D41" i="5"/>
  <c r="D42" i="5"/>
  <c r="D43" i="5"/>
  <c r="E43" i="5" s="1"/>
  <c r="D44" i="5"/>
  <c r="D45" i="5"/>
  <c r="D46" i="5"/>
  <c r="D47" i="5"/>
  <c r="D48" i="5"/>
  <c r="D49" i="5"/>
  <c r="E49" i="5" s="1"/>
  <c r="D50" i="5"/>
  <c r="D51" i="5"/>
  <c r="D52" i="5"/>
  <c r="D53" i="5"/>
  <c r="D54" i="5"/>
  <c r="D55" i="5"/>
  <c r="E55" i="5" s="1"/>
  <c r="D56" i="5"/>
  <c r="D57" i="5"/>
  <c r="D58" i="5"/>
  <c r="D59" i="5"/>
  <c r="D60" i="5"/>
  <c r="D61" i="5"/>
  <c r="E61" i="5" s="1"/>
  <c r="D62" i="5"/>
  <c r="D63" i="5"/>
  <c r="D64" i="5"/>
  <c r="D65" i="5"/>
  <c r="D66" i="5"/>
  <c r="D67" i="5"/>
  <c r="E67" i="5" s="1"/>
  <c r="D68" i="5"/>
  <c r="D69" i="5"/>
  <c r="D70" i="5"/>
  <c r="D71" i="5"/>
  <c r="B167" i="7"/>
  <c r="D167" i="7" s="1"/>
  <c r="B166" i="7"/>
  <c r="D166" i="7" s="1"/>
  <c r="B165" i="7"/>
  <c r="D165" i="7" s="1"/>
  <c r="B164" i="7"/>
  <c r="D164" i="7" s="1"/>
  <c r="B163" i="7"/>
  <c r="D163" i="7" s="1"/>
  <c r="B162" i="7"/>
  <c r="D162" i="7" s="1"/>
  <c r="B161" i="7"/>
  <c r="D161" i="7" s="1"/>
  <c r="B160" i="7"/>
  <c r="D160" i="7" s="1"/>
  <c r="B159" i="7"/>
  <c r="D159" i="7" s="1"/>
  <c r="B158" i="7"/>
  <c r="D158" i="7" s="1"/>
  <c r="B157" i="7"/>
  <c r="D157" i="7" s="1"/>
  <c r="B156" i="7"/>
  <c r="D156" i="7" s="1"/>
  <c r="B155" i="7"/>
  <c r="D155" i="7" s="1"/>
  <c r="B154" i="7"/>
  <c r="D154" i="7" s="1"/>
  <c r="B153" i="7"/>
  <c r="D153" i="7" s="1"/>
  <c r="B152" i="7"/>
  <c r="D152" i="7" s="1"/>
  <c r="B151" i="7"/>
  <c r="D151" i="7" s="1"/>
  <c r="B150" i="7"/>
  <c r="D150" i="7" s="1"/>
  <c r="B149" i="7"/>
  <c r="D149" i="7" s="1"/>
  <c r="B148" i="7"/>
  <c r="D148" i="7" s="1"/>
  <c r="B147" i="7"/>
  <c r="D147" i="7" s="1"/>
  <c r="B146" i="7"/>
  <c r="D146" i="7" s="1"/>
  <c r="B145" i="7"/>
  <c r="D145" i="7" s="1"/>
  <c r="B144" i="7"/>
  <c r="D144" i="7" s="1"/>
  <c r="B143" i="7"/>
  <c r="D143" i="7" s="1"/>
  <c r="B142" i="7"/>
  <c r="D142" i="7" s="1"/>
  <c r="B141" i="7"/>
  <c r="D141" i="7" s="1"/>
  <c r="B140" i="7"/>
  <c r="D140" i="7" s="1"/>
  <c r="B139" i="7"/>
  <c r="D139" i="7" s="1"/>
  <c r="B138" i="7"/>
  <c r="D138" i="7" s="1"/>
  <c r="B137" i="7"/>
  <c r="D137" i="7" s="1"/>
  <c r="B136" i="7"/>
  <c r="D136" i="7" s="1"/>
  <c r="B135" i="7"/>
  <c r="D135" i="7" s="1"/>
  <c r="B134" i="7"/>
  <c r="D134" i="7" s="1"/>
  <c r="B133" i="7"/>
  <c r="D133" i="7" s="1"/>
  <c r="B132" i="7"/>
  <c r="D132" i="7" s="1"/>
  <c r="B131" i="7"/>
  <c r="D131" i="7" s="1"/>
  <c r="B130" i="7"/>
  <c r="D130" i="7" s="1"/>
  <c r="B129" i="7"/>
  <c r="D129" i="7" s="1"/>
  <c r="B128" i="7"/>
  <c r="D128" i="7" s="1"/>
  <c r="B127" i="7"/>
  <c r="D127" i="7" s="1"/>
  <c r="B126" i="7"/>
  <c r="D126" i="7" s="1"/>
  <c r="B125" i="7"/>
  <c r="D125" i="7" s="1"/>
  <c r="B124" i="7"/>
  <c r="D124" i="7" s="1"/>
  <c r="B123" i="7"/>
  <c r="D123" i="7" s="1"/>
  <c r="B122" i="7"/>
  <c r="D122" i="7" s="1"/>
  <c r="B121" i="7"/>
  <c r="D121" i="7" s="1"/>
  <c r="B120" i="7"/>
  <c r="D120" i="7" s="1"/>
  <c r="B119" i="7"/>
  <c r="D119" i="7" s="1"/>
  <c r="B118" i="7"/>
  <c r="D118" i="7" s="1"/>
  <c r="B117" i="7"/>
  <c r="D117" i="7" s="1"/>
  <c r="B116" i="7"/>
  <c r="D116" i="7" s="1"/>
  <c r="B115" i="7"/>
  <c r="D115" i="7" s="1"/>
  <c r="B114" i="7"/>
  <c r="D114" i="7" s="1"/>
  <c r="B113" i="7"/>
  <c r="D113" i="7" s="1"/>
  <c r="B112" i="7"/>
  <c r="D112" i="7" s="1"/>
  <c r="B111" i="7"/>
  <c r="D111" i="7" s="1"/>
  <c r="B110" i="7"/>
  <c r="D110" i="7" s="1"/>
  <c r="B109" i="7"/>
  <c r="D109" i="7" s="1"/>
  <c r="B108" i="7"/>
  <c r="D108" i="7" s="1"/>
  <c r="B107" i="7"/>
  <c r="D107" i="7" s="1"/>
  <c r="B106" i="7"/>
  <c r="D106" i="7" s="1"/>
  <c r="B105" i="7"/>
  <c r="D105" i="7" s="1"/>
  <c r="B104" i="7"/>
  <c r="D104" i="7" s="1"/>
  <c r="B103" i="7"/>
  <c r="D103" i="7" s="1"/>
  <c r="B102" i="7"/>
  <c r="D102" i="7" s="1"/>
  <c r="B101" i="7"/>
  <c r="D101" i="7" s="1"/>
  <c r="B100" i="7"/>
  <c r="D100" i="7" s="1"/>
  <c r="B99" i="7"/>
  <c r="D99" i="7" s="1"/>
  <c r="B98" i="7"/>
  <c r="D98" i="7" s="1"/>
  <c r="B97" i="7"/>
  <c r="D97" i="7" s="1"/>
  <c r="B96" i="7"/>
  <c r="D96" i="7" s="1"/>
  <c r="B95" i="7"/>
  <c r="D95" i="7" s="1"/>
  <c r="B94" i="7"/>
  <c r="D94" i="7" s="1"/>
  <c r="B93" i="7"/>
  <c r="D93" i="7" s="1"/>
  <c r="B92" i="7"/>
  <c r="D92" i="7" s="1"/>
  <c r="B91" i="7"/>
  <c r="D91" i="7" s="1"/>
  <c r="B90" i="7"/>
  <c r="D90" i="7" s="1"/>
  <c r="B89" i="7"/>
  <c r="D89" i="7" s="1"/>
  <c r="B88" i="7"/>
  <c r="D88" i="7" s="1"/>
  <c r="B87" i="7"/>
  <c r="D87" i="7" s="1"/>
  <c r="B86" i="7"/>
  <c r="D86" i="7" s="1"/>
  <c r="B85" i="7"/>
  <c r="D85" i="7" s="1"/>
  <c r="B84" i="7"/>
  <c r="D84" i="7" s="1"/>
  <c r="B83" i="7"/>
  <c r="D83" i="7" s="1"/>
  <c r="B82" i="7"/>
  <c r="D82" i="7" s="1"/>
  <c r="B81" i="7"/>
  <c r="D81" i="7" s="1"/>
  <c r="B80" i="7"/>
  <c r="D80" i="7" s="1"/>
  <c r="B79" i="7"/>
  <c r="D79" i="7" s="1"/>
  <c r="B78" i="7"/>
  <c r="D78" i="7" s="1"/>
  <c r="B77" i="7"/>
  <c r="D77" i="7" s="1"/>
  <c r="B76" i="7"/>
  <c r="D76" i="7" s="1"/>
  <c r="B75" i="7"/>
  <c r="D75" i="7" s="1"/>
  <c r="B74" i="7"/>
  <c r="D74" i="7" s="1"/>
  <c r="B73" i="7"/>
  <c r="D73" i="7" s="1"/>
  <c r="B72" i="7"/>
  <c r="D72" i="7" s="1"/>
  <c r="B71" i="7"/>
  <c r="D71" i="7" s="1"/>
  <c r="B70" i="7"/>
  <c r="D70" i="7" s="1"/>
  <c r="B69" i="7"/>
  <c r="D69" i="7" s="1"/>
  <c r="B68" i="7"/>
  <c r="D68" i="7" s="1"/>
  <c r="B67" i="7"/>
  <c r="D67" i="7" s="1"/>
  <c r="B66" i="7"/>
  <c r="D66" i="7" s="1"/>
  <c r="B65" i="7"/>
  <c r="D65" i="7" s="1"/>
  <c r="B64" i="7"/>
  <c r="D64" i="7" s="1"/>
  <c r="B63" i="7"/>
  <c r="D63" i="7" s="1"/>
  <c r="B62" i="7"/>
  <c r="D62" i="7" s="1"/>
  <c r="B61" i="7"/>
  <c r="D61" i="7" s="1"/>
  <c r="B60" i="7"/>
  <c r="D60" i="7" s="1"/>
  <c r="B59" i="7"/>
  <c r="D59" i="7" s="1"/>
  <c r="B58" i="7"/>
  <c r="D58" i="7" s="1"/>
  <c r="B57" i="7"/>
  <c r="D57" i="7" s="1"/>
  <c r="B56" i="7"/>
  <c r="D56" i="7" s="1"/>
  <c r="B55" i="7"/>
  <c r="D55" i="7" s="1"/>
  <c r="B54" i="7"/>
  <c r="D54" i="7" s="1"/>
  <c r="B53" i="7"/>
  <c r="D53" i="7" s="1"/>
  <c r="B52" i="7"/>
  <c r="D52" i="7" s="1"/>
  <c r="B51" i="7"/>
  <c r="D51" i="7" s="1"/>
  <c r="B50" i="7"/>
  <c r="D50" i="7" s="1"/>
  <c r="B49" i="7"/>
  <c r="D49" i="7" s="1"/>
  <c r="B48" i="7"/>
  <c r="D48" i="7" s="1"/>
  <c r="B47" i="7"/>
  <c r="D47" i="7" s="1"/>
  <c r="B46" i="7"/>
  <c r="D46" i="7" s="1"/>
  <c r="B45" i="7"/>
  <c r="D45" i="7" s="1"/>
  <c r="B44" i="7"/>
  <c r="D44" i="7" s="1"/>
  <c r="B43" i="7"/>
  <c r="D43" i="7" s="1"/>
  <c r="B42" i="7"/>
  <c r="D42" i="7" s="1"/>
  <c r="B41" i="7"/>
  <c r="D41" i="7" s="1"/>
  <c r="B40" i="7"/>
  <c r="D40" i="7" s="1"/>
  <c r="B39" i="7"/>
  <c r="D39" i="7" s="1"/>
  <c r="B38" i="7"/>
  <c r="D38" i="7" s="1"/>
  <c r="B37" i="7"/>
  <c r="D37" i="7" s="1"/>
  <c r="B36" i="7"/>
  <c r="D36" i="7" s="1"/>
  <c r="B35" i="7"/>
  <c r="D35" i="7" s="1"/>
  <c r="B34" i="7"/>
  <c r="D34" i="7" s="1"/>
  <c r="B33" i="7"/>
  <c r="D33" i="7" s="1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6" i="7"/>
  <c r="D26" i="7" s="1"/>
  <c r="B25" i="7"/>
  <c r="D25" i="7" s="1"/>
  <c r="B24" i="7"/>
  <c r="D24" i="7" s="1"/>
  <c r="B23" i="7"/>
  <c r="D23" i="7" s="1"/>
  <c r="B22" i="7"/>
  <c r="D22" i="7" s="1"/>
  <c r="B21" i="7"/>
  <c r="D21" i="7" s="1"/>
  <c r="B20" i="7"/>
  <c r="D20" i="7" s="1"/>
  <c r="B19" i="7"/>
  <c r="D19" i="7" s="1"/>
  <c r="B18" i="7"/>
  <c r="D18" i="7" s="1"/>
  <c r="B17" i="7"/>
  <c r="D17" i="7" s="1"/>
  <c r="B16" i="7"/>
  <c r="D16" i="7" s="1"/>
  <c r="B15" i="7"/>
  <c r="D15" i="7" s="1"/>
  <c r="B14" i="7"/>
  <c r="D14" i="7" s="1"/>
  <c r="B13" i="7"/>
  <c r="D13" i="7" s="1"/>
  <c r="B12" i="7"/>
  <c r="D12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B5" i="7"/>
  <c r="D5" i="7" s="1"/>
  <c r="B4" i="7"/>
  <c r="D4" i="7" s="1"/>
  <c r="B3" i="7"/>
  <c r="D3" i="7" s="1"/>
  <c r="B2" i="7"/>
  <c r="D2" i="7" s="1"/>
  <c r="E68" i="5" l="1"/>
  <c r="E62" i="5"/>
  <c r="E56" i="5"/>
  <c r="E50" i="5"/>
  <c r="E44" i="5"/>
  <c r="E38" i="5"/>
  <c r="E32" i="5"/>
  <c r="E26" i="5"/>
  <c r="E20" i="5"/>
  <c r="E14" i="5"/>
  <c r="E8" i="5"/>
  <c r="E2" i="5"/>
</calcChain>
</file>

<file path=xl/sharedStrings.xml><?xml version="1.0" encoding="utf-8"?>
<sst xmlns="http://schemas.openxmlformats.org/spreadsheetml/2006/main" count="377" uniqueCount="93">
  <si>
    <t>observation_date</t>
  </si>
  <si>
    <t>YearQuarter</t>
  </si>
  <si>
    <t>HIRQGSP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</si>
  <si>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</si>
  <si>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</si>
  <si>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</si>
  <si>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</si>
  <si>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</si>
  <si>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</si>
  <si>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</si>
  <si>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</si>
  <si>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</si>
  <si>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</si>
  <si>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</si>
  <si>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</si>
  <si>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</si>
  <si>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</si>
  <si>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</si>
  <si>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</si>
  <si>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</si>
  <si>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</si>
  <si>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</si>
  <si>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</si>
  <si>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</si>
  <si>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</si>
  <si>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</si>
  <si>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</si>
  <si>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</si>
  <si>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</si>
  <si>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</si>
  <si>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</si>
  <si>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</si>
  <si>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</si>
  <si>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</si>
  <si>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</si>
  <si>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</si>
  <si>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</si>
  <si>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</si>
  <si>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</si>
  <si>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</si>
  <si>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</si>
  <si>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</si>
  <si>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</si>
  <si>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</si>
  <si>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</si>
  <si>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</si>
  <si>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</si>
  <si>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</si>
  <si>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</si>
  <si>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</si>
  <si>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</si>
  <si>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</si>
  <si>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</si>
  <si>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</si>
  <si>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</si>
  <si>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</si>
  <si>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</si>
  <si>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</si>
  <si>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</si>
  <si>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</si>
  <si>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</si>
  <si>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</si>
  <si>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</si>
  <si>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</si>
  <si>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</si>
  <si>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</si>
  <si>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</si>
  <si>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</si>
  <si>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</si>
  <si>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</si>
  <si>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</si>
  <si>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</si>
  <si>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</si>
  <si>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POILBREUSDQ</t>
  </si>
  <si>
    <t>DateTime</t>
  </si>
  <si>
    <t>Level</t>
  </si>
  <si>
    <t>YOY % Change</t>
  </si>
  <si>
    <t>YTD % Change</t>
  </si>
  <si>
    <t>fiscal_quarter</t>
  </si>
  <si>
    <t>real_federal_obligations</t>
  </si>
  <si>
    <t>Year</t>
  </si>
  <si>
    <t>Semiannual Observation_date</t>
  </si>
  <si>
    <t>Quarter</t>
  </si>
  <si>
    <t>Consumer Price Index for All Items in Urban Hawaii (CBSA)</t>
  </si>
  <si>
    <t>total_nominal_federal_obligations</t>
  </si>
  <si>
    <t>CPI_1984_base</t>
  </si>
  <si>
    <t>year_quarter</t>
  </si>
  <si>
    <t>real_federal_obligations_2024USD_millions</t>
  </si>
  <si>
    <t>real_federal_obligations_2024USD_millions - Moving Average (2 Quarters)</t>
  </si>
  <si>
    <t>global_brent_bbl_nominal_usd_nsa</t>
  </si>
  <si>
    <t>hi_gdp_real_2017_millions_usd_sa</t>
  </si>
  <si>
    <t>hi_visitor_exp_real_2024_millions_usd_sa</t>
  </si>
  <si>
    <t>hi_fed_oblig_real_1984_millions_usd_nsa_2qtr_ma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</si>
</sst>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 \ \ \ 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ajor"/>
    </font>
    <font>
      <sz val="12"/>
      <color rgb="FF000000"/>
      <name val="Calibri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4" fontId="3" fillId="0" borderId="0" xfId="0" applyNumberFormat="1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164" fontId="5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4" fontId="1" fillId="0" borderId="0" xfId="1" applyNumberFormat="1" applyAlignment="1">
      <alignment horizontal="center"/>
    </xf>
    <xf numFmtId="1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14" fontId="1" fillId="0" borderId="0" xfId="1" applyNumberFormat="1"/>
    <xf numFmtId="1" fontId="1" fillId="0" borderId="0" xfId="1" applyNumberFormat="1"/>
    <xf numFmtId="49" fontId="1" fillId="0" borderId="0" xfId="1" applyNumberFormat="1"/>
    <xf numFmtId="2" fontId="0" fillId="0" borderId="0" xfId="0" applyNumberFormat="1"/>
    <xf numFmtId="0" fontId="7" fillId="0" borderId="0" xfId="0" applyFont="1"/>
    <xf numFmtId="0" fontId="1" fillId="0" borderId="0" xfId="0" applyFont="1"/>
    <xf numFmtId="49" fontId="0" fillId="0" borderId="0" xfId="0" applyNumberFormat="1"/>
    <xf numFmtId="2" fontId="7" fillId="0" borderId="0" xfId="0" applyNumberFormat="1" applyFont="1"/>
    <xf numFmtId="2" fontId="7" fillId="0" borderId="0" xfId="0" applyNumberFormat="1" applyFont="1" applyAlignment="1">
      <alignment horizontal="right"/>
    </xf>
    <xf numFmtId="2" fontId="7" fillId="0" borderId="0" xfId="1" applyNumberFormat="1" applyFont="1"/>
    <xf numFmtId="49" fontId="8" fillId="0" borderId="0" xfId="0" applyNumberFormat="1" applyFont="1"/>
    <xf numFmtId="2" fontId="8" fillId="0" borderId="0" xfId="0" applyNumberFormat="1" applyFont="1"/>
    <xf numFmtId="49" fontId="9" fillId="0" borderId="0" xfId="0" applyNumberFormat="1" applyFont="1"/>
    <xf numFmtId="2" fontId="8" fillId="0" borderId="0" xfId="0" applyNumberFormat="1" applyFont="1" applyAlignment="1">
      <alignment horizontal="right"/>
    </xf>
  </cellXfs>
  <cellStyles count="2">
    <cellStyle name="Normal" xfId="0" builtinId="0"/>
    <cellStyle name="Normal 2" xfId="1" xr:uid="{97BA6C95-5185-4224-AAAE-310F823368BB}"/>
  </cellStyles>
  <dxfs count="19">
    <dxf>
      <numFmt numFmtId="30" formatCode="@"/>
    </dxf>
    <dxf>
      <numFmt numFmtId="1" formatCode="0"/>
    </dxf>
    <dxf>
      <numFmt numFmtId="1" formatCode="0"/>
    </dxf>
    <dxf>
      <numFmt numFmtId="19" formatCode="m/d/yyyy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numFmt numFmtId="2" formatCode="0.0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aj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numFmt numFmtId="30" formatCode="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aj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ajor"/>
      </font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Real</a:t>
            </a:r>
            <a:r>
              <a:rPr lang="en-US" baseline="0"/>
              <a:t> Federal Obligations (in 2024 $millions)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Total_Federal_Obligations!$E$2:$E$71</c:f>
              <c:numCache>
                <c:formatCode>0.00</c:formatCode>
                <c:ptCount val="70"/>
                <c:pt idx="0">
                  <c:v>469.30042580520291</c:v>
                </c:pt>
                <c:pt idx="1">
                  <c:v>573.9138751792517</c:v>
                </c:pt>
                <c:pt idx="2">
                  <c:v>488.47186690221235</c:v>
                </c:pt>
                <c:pt idx="3">
                  <c:v>892.10605112267626</c:v>
                </c:pt>
                <c:pt idx="4">
                  <c:v>1015.8820905862236</c:v>
                </c:pt>
                <c:pt idx="5">
                  <c:v>650.71976235366333</c:v>
                </c:pt>
                <c:pt idx="6">
                  <c:v>924.26479187677239</c:v>
                </c:pt>
                <c:pt idx="7">
                  <c:v>1691.195975882013</c:v>
                </c:pt>
                <c:pt idx="8">
                  <c:v>1020.2681103574513</c:v>
                </c:pt>
                <c:pt idx="9">
                  <c:v>713.01797350121024</c:v>
                </c:pt>
                <c:pt idx="10">
                  <c:v>758.55687193746928</c:v>
                </c:pt>
                <c:pt idx="11">
                  <c:v>1341.3432047847539</c:v>
                </c:pt>
                <c:pt idx="12">
                  <c:v>2319.5371481012976</c:v>
                </c:pt>
                <c:pt idx="13">
                  <c:v>1968.129224644691</c:v>
                </c:pt>
                <c:pt idx="14">
                  <c:v>1881.2150936244102</c:v>
                </c:pt>
                <c:pt idx="15">
                  <c:v>2492.3957593889345</c:v>
                </c:pt>
                <c:pt idx="16">
                  <c:v>2162.1936922371569</c:v>
                </c:pt>
                <c:pt idx="17">
                  <c:v>2001.8114950572303</c:v>
                </c:pt>
                <c:pt idx="18">
                  <c:v>1968.6579361813483</c:v>
                </c:pt>
                <c:pt idx="19">
                  <c:v>2253.2432000415497</c:v>
                </c:pt>
                <c:pt idx="20">
                  <c:v>2123.4815092297849</c:v>
                </c:pt>
                <c:pt idx="21">
                  <c:v>1794.510945016232</c:v>
                </c:pt>
                <c:pt idx="22">
                  <c:v>1820.7627997298212</c:v>
                </c:pt>
                <c:pt idx="23">
                  <c:v>2301.0036694077271</c:v>
                </c:pt>
                <c:pt idx="24">
                  <c:v>715.00794291942225</c:v>
                </c:pt>
                <c:pt idx="25">
                  <c:v>707.81077663493352</c:v>
                </c:pt>
                <c:pt idx="26">
                  <c:v>821.00660519310168</c:v>
                </c:pt>
                <c:pt idx="27">
                  <c:v>1361.2034140977662</c:v>
                </c:pt>
                <c:pt idx="28">
                  <c:v>993.57020919301283</c:v>
                </c:pt>
                <c:pt idx="29">
                  <c:v>736.62740878346915</c:v>
                </c:pt>
                <c:pt idx="30">
                  <c:v>928.48465418581077</c:v>
                </c:pt>
                <c:pt idx="31">
                  <c:v>1198.4193037998796</c:v>
                </c:pt>
                <c:pt idx="32">
                  <c:v>993.84144895810448</c:v>
                </c:pt>
                <c:pt idx="33">
                  <c:v>931.39226399230415</c:v>
                </c:pt>
                <c:pt idx="34">
                  <c:v>832.11391110877662</c:v>
                </c:pt>
                <c:pt idx="35">
                  <c:v>1275.6984361868172</c:v>
                </c:pt>
                <c:pt idx="36">
                  <c:v>1044.4486817513609</c:v>
                </c:pt>
                <c:pt idx="37">
                  <c:v>966.37408860226492</c:v>
                </c:pt>
                <c:pt idx="38">
                  <c:v>923.11926561528037</c:v>
                </c:pt>
                <c:pt idx="39">
                  <c:v>1333.0666109261222</c:v>
                </c:pt>
                <c:pt idx="40">
                  <c:v>953.720105306763</c:v>
                </c:pt>
                <c:pt idx="41">
                  <c:v>1095.4016867977732</c:v>
                </c:pt>
                <c:pt idx="42">
                  <c:v>1056.3775906940064</c:v>
                </c:pt>
                <c:pt idx="43">
                  <c:v>1385.1052469888157</c:v>
                </c:pt>
                <c:pt idx="44">
                  <c:v>1068.2953695852009</c:v>
                </c:pt>
                <c:pt idx="45">
                  <c:v>1082.7478365744339</c:v>
                </c:pt>
                <c:pt idx="46">
                  <c:v>1075.908641324163</c:v>
                </c:pt>
                <c:pt idx="47">
                  <c:v>1371.7828072622237</c:v>
                </c:pt>
                <c:pt idx="48">
                  <c:v>1081.5565418856065</c:v>
                </c:pt>
                <c:pt idx="49">
                  <c:v>1105.9940870474175</c:v>
                </c:pt>
                <c:pt idx="50">
                  <c:v>2740.2627596878692</c:v>
                </c:pt>
                <c:pt idx="51">
                  <c:v>1716.7126190617257</c:v>
                </c:pt>
                <c:pt idx="52">
                  <c:v>1107.9673985810753</c:v>
                </c:pt>
                <c:pt idx="53">
                  <c:v>2054.8226853577225</c:v>
                </c:pt>
                <c:pt idx="54">
                  <c:v>2352.03510049442</c:v>
                </c:pt>
                <c:pt idx="55">
                  <c:v>1734.6947971350874</c:v>
                </c:pt>
                <c:pt idx="56">
                  <c:v>1154.4181096761999</c:v>
                </c:pt>
                <c:pt idx="57">
                  <c:v>1279.2561147829317</c:v>
                </c:pt>
                <c:pt idx="58">
                  <c:v>1314.667587558122</c:v>
                </c:pt>
                <c:pt idx="59">
                  <c:v>1694.5422410129493</c:v>
                </c:pt>
                <c:pt idx="60">
                  <c:v>1178.8521727948239</c:v>
                </c:pt>
                <c:pt idx="61">
                  <c:v>1404.9823477463297</c:v>
                </c:pt>
                <c:pt idx="62">
                  <c:v>1309.6201974543576</c:v>
                </c:pt>
                <c:pt idx="63">
                  <c:v>1877.6159609951699</c:v>
                </c:pt>
                <c:pt idx="64">
                  <c:v>1128.5141791773283</c:v>
                </c:pt>
                <c:pt idx="65">
                  <c:v>1595.8888127320326</c:v>
                </c:pt>
                <c:pt idx="66">
                  <c:v>1587.0667512779319</c:v>
                </c:pt>
                <c:pt idx="67">
                  <c:v>2155.1799003943333</c:v>
                </c:pt>
                <c:pt idx="68">
                  <c:v>1304.2451996078846</c:v>
                </c:pt>
                <c:pt idx="69">
                  <c:v>1304.5253081007424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3-4764-8945-76D7825F617A}"/>
            </c:ext>
          </c:extLst>
        </c:ser>
        <c:ser>
          <c:idx val="1"/>
          <c:order val="1"/>
          <c:tx>
            <c:v>Forecast</c:v>
          </c:tx>
          <c:val>
            <c:numRef>
              <c:f>Total_Federal_Obligations!$F$2:$F$71</c:f>
              <c:numCache>
                <c:formatCode>0.00</c:formatCode>
                <c:ptCount val="70"/>
                <c:pt idx="0">
                  <c:v>469.3</c:v>
                </c:pt>
                <c:pt idx="1">
                  <c:v>521.60715049222733</c:v>
                </c:pt>
                <c:pt idx="2">
                  <c:v>531.19287104073203</c:v>
                </c:pt>
                <c:pt idx="3">
                  <c:v>690.28895901244437</c:v>
                </c:pt>
                <c:pt idx="4">
                  <c:v>953.99407085445</c:v>
                </c:pt>
                <c:pt idx="5">
                  <c:v>833.30092646994353</c:v>
                </c:pt>
                <c:pt idx="6">
                  <c:v>787.4922771152178</c:v>
                </c:pt>
                <c:pt idx="7">
                  <c:v>1307.7303838793928</c:v>
                </c:pt>
                <c:pt idx="8">
                  <c:v>1355.7320431197322</c:v>
                </c:pt>
                <c:pt idx="9">
                  <c:v>866.64304192933082</c:v>
                </c:pt>
                <c:pt idx="10">
                  <c:v>735.7874227193397</c:v>
                </c:pt>
                <c:pt idx="11">
                  <c:v>1049.9500383611116</c:v>
                </c:pt>
                <c:pt idx="12">
                  <c:v>1830.4401764430258</c:v>
                </c:pt>
                <c:pt idx="13">
                  <c:v>2143.8331863729945</c:v>
                </c:pt>
                <c:pt idx="14">
                  <c:v>1924.6721591345506</c:v>
                </c:pt>
                <c:pt idx="15">
                  <c:v>2186.8054265066721</c:v>
                </c:pt>
                <c:pt idx="16">
                  <c:v>2327.2947258130457</c:v>
                </c:pt>
                <c:pt idx="17">
                  <c:v>2082.0025936471939</c:v>
                </c:pt>
                <c:pt idx="18">
                  <c:v>1985.2347156192893</c:v>
                </c:pt>
                <c:pt idx="19">
                  <c:v>2110.9505681114488</c:v>
                </c:pt>
                <c:pt idx="20">
                  <c:v>2188.3623546356675</c:v>
                </c:pt>
                <c:pt idx="21">
                  <c:v>1958.9962271230083</c:v>
                </c:pt>
                <c:pt idx="22">
                  <c:v>1807.6368723730266</c:v>
                </c:pt>
                <c:pt idx="23">
                  <c:v>2060.8832345687742</c:v>
                </c:pt>
                <c:pt idx="24">
                  <c:v>1508.0058061635746</c:v>
                </c:pt>
                <c:pt idx="25">
                  <c:v>711.40935977717788</c:v>
                </c:pt>
                <c:pt idx="26">
                  <c:v>764.4086909140176</c:v>
                </c:pt>
                <c:pt idx="27">
                  <c:v>1091.1050096454339</c:v>
                </c:pt>
                <c:pt idx="28">
                  <c:v>1177.3868116453896</c:v>
                </c:pt>
                <c:pt idx="29">
                  <c:v>865.09880898824099</c:v>
                </c:pt>
                <c:pt idx="30">
                  <c:v>832.55603148464002</c:v>
                </c:pt>
                <c:pt idx="31">
                  <c:v>1063.4519789928452</c:v>
                </c:pt>
                <c:pt idx="32">
                  <c:v>1096.130376378992</c:v>
                </c:pt>
                <c:pt idx="33">
                  <c:v>962.61685647520426</c:v>
                </c:pt>
                <c:pt idx="34">
                  <c:v>881.75308755054039</c:v>
                </c:pt>
                <c:pt idx="35">
                  <c:v>1053.906173647797</c:v>
                </c:pt>
                <c:pt idx="36">
                  <c:v>1160.0735589690889</c:v>
                </c:pt>
                <c:pt idx="37">
                  <c:v>1005.4113851768129</c:v>
                </c:pt>
                <c:pt idx="38">
                  <c:v>944.7466771087727</c:v>
                </c:pt>
                <c:pt idx="39">
                  <c:v>1128.0929382707013</c:v>
                </c:pt>
                <c:pt idx="40">
                  <c:v>1143.3933581164426</c:v>
                </c:pt>
                <c:pt idx="41">
                  <c:v>1024.5608960522682</c:v>
                </c:pt>
                <c:pt idx="42">
                  <c:v>1075.8896387458899</c:v>
                </c:pt>
                <c:pt idx="43">
                  <c:v>1220.7414188414109</c:v>
                </c:pt>
                <c:pt idx="44">
                  <c:v>1226.7003082870083</c:v>
                </c:pt>
                <c:pt idx="45">
                  <c:v>1075.5216030798174</c:v>
                </c:pt>
                <c:pt idx="46">
                  <c:v>1079.3282389492983</c:v>
                </c:pt>
                <c:pt idx="47">
                  <c:v>1223.8457242931934</c:v>
                </c:pt>
                <c:pt idx="48">
                  <c:v>1226.669674573915</c:v>
                </c:pt>
                <c:pt idx="49">
                  <c:v>1093.7753144665121</c:v>
                </c:pt>
                <c:pt idx="50">
                  <c:v>1923.1284233676433</c:v>
                </c:pt>
                <c:pt idx="51">
                  <c:v>2228.4876893747974</c:v>
                </c:pt>
                <c:pt idx="52">
                  <c:v>1412.3400088214005</c:v>
                </c:pt>
                <c:pt idx="53">
                  <c:v>1581.3950419693988</c:v>
                </c:pt>
                <c:pt idx="54">
                  <c:v>2203.4288929260711</c:v>
                </c:pt>
                <c:pt idx="55">
                  <c:v>2043.3649488147537</c:v>
                </c:pt>
                <c:pt idx="56">
                  <c:v>1444.5564534056437</c:v>
                </c:pt>
                <c:pt idx="57">
                  <c:v>1216.8371122295657</c:v>
                </c:pt>
                <c:pt idx="58">
                  <c:v>1296.9618511705269</c:v>
                </c:pt>
                <c:pt idx="59">
                  <c:v>1504.6049142855356</c:v>
                </c:pt>
                <c:pt idx="60">
                  <c:v>1436.6972069038866</c:v>
                </c:pt>
                <c:pt idx="61">
                  <c:v>1291.9172602705767</c:v>
                </c:pt>
                <c:pt idx="62">
                  <c:v>1357.3012726003435</c:v>
                </c:pt>
                <c:pt idx="63">
                  <c:v>1593.6180792247637</c:v>
                </c:pt>
                <c:pt idx="64">
                  <c:v>1503.0650700862491</c:v>
                </c:pt>
                <c:pt idx="65">
                  <c:v>1362.2014959546805</c:v>
                </c:pt>
                <c:pt idx="66">
                  <c:v>1591.4777820049821</c:v>
                </c:pt>
                <c:pt idx="67">
                  <c:v>1871.1233258361326</c:v>
                </c:pt>
                <c:pt idx="68">
                  <c:v>1729.7125500011089</c:v>
                </c:pt>
                <c:pt idx="69">
                  <c:v>1304.3852538543135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3-4764-8945-76D7825F6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982527"/>
        <c:axId val="440985439"/>
      </c:lineChart>
      <c:catAx>
        <c:axId val="440982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Periods</a:t>
                </a:r>
              </a:p>
            </c:rich>
          </c:tx>
          <c:overlay val="0"/>
        </c:title>
        <c:majorTickMark val="out"/>
        <c:minorTickMark val="none"/>
        <c:tickLblPos val="nextTo"/>
        <c:crossAx val="440985439"/>
        <c:crosses val="autoZero"/>
        <c:auto val="1"/>
        <c:lblAlgn val="ctr"/>
        <c:lblOffset val="100"/>
        <c:noMultiLvlLbl val="0"/>
      </c:catAx>
      <c:valAx>
        <c:axId val="4409854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4098252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142876</xdr:colOff>
      <xdr:row>2</xdr:row>
      <xdr:rowOff>47624</xdr:rowOff>
    </xdr:from>
    <xdr:to>
      <xdr:col>19</xdr:col>
      <xdr:colOff>87313</xdr:colOff>
      <xdr:row>20</xdr:row>
      <xdr:rowOff>55562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206AC4-8D35-48C2-8690-0E607DFBE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2462A1-DF6A-4345-8E10-F2B5F8005B4B}" name="Table3" displayName="Table3" ref="A1:E71" totalsRowShown="0" headerRowDxfId="18" dataDxfId="17">
  <autoFilter ref="A1:E71" xr:uid="{E32462A1-DF6A-4345-8E10-F2B5F8005B4B}"/>
  <tableColumns count="5">
    <tableColumn id="1" xr3:uid="{AE654A7A-2FA2-41A5-B05D-890B080BF465}" name="year_quarter" dataDxfId="16"/>
    <tableColumn id="2" xr3:uid="{F664E1EF-4CC2-4DCB-AF5F-CA99DDDB5FB7}" name="hi_gdp_real_2017_millions_usd_sa" dataDxfId="15"/>
    <tableColumn id="3" xr3:uid="{6C3ED164-FFA6-440E-8D1D-E040D1862841}" name="global_brent_bbl_nominal_usd_nsa" dataDxfId="14"/>
    <tableColumn id="4" xr3:uid="{9268B38C-DC20-4DA2-B9A2-2679258F63AD}" name="hi_visitor_exp_real_2024_millions_usd_sa" dataDxfId="13"/>
    <tableColumn id="5" xr3:uid="{B8510E62-199B-48AF-9181-5C3D206CAC86}" name="hi_fed_oblig_real_1984_millions_usd_nsa_2qtr_ma" dataDxfId="12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502914-BCE5-47F8-8DED-CF867CA4ED5A}" name="Table2" displayName="Table2" ref="A1:F71" totalsRowShown="0" headerRowDxfId="11" dataDxfId="10">
  <autoFilter ref="A1:F71" xr:uid="{61502914-BCE5-47F8-8DED-CF867CA4ED5A}"/>
  <tableColumns count="6">
    <tableColumn id="1" xr3:uid="{9CC1EA32-3C9E-4E42-9FAB-03BC49A16EB1}" name="fiscal_quarter" dataDxfId="9"/>
    <tableColumn id="2" xr3:uid="{46EE3A29-8985-4C8D-BFFC-89967FA7AE65}" name="total_nominal_federal_obligations" dataDxfId="8"/>
    <tableColumn id="3" xr3:uid="{5263C25C-10B8-4AFF-983F-FC8F14E92EBA}" name="CPI_1984_base" dataDxfId="7" dataCellStyle="Normal 2"/>
    <tableColumn id="4" xr3:uid="{8E34748D-4A46-423D-8A1A-9D73D01FA148}" name="real_federal_obligations" dataDxfId="6">
      <calculatedColumnFormula>Table2[[#This Row],[total_nominal_federal_obligations]]/(Table2[[#This Row],[CPI_1984_base]]/100)</calculatedColumnFormula>
    </tableColumn>
    <tableColumn id="5" xr3:uid="{571997AD-2661-4E8D-9577-456CC5A08B23}" name="real_federal_obligations_2024USD_millions" dataDxfId="5">
      <calculatedColumnFormula>Table2[[#This Row],[real_federal_obligations]]/1000000</calculatedColumnFormula>
    </tableColumn>
    <tableColumn id="6" xr3:uid="{EB4CEEB0-020A-4362-9146-AC4DEB3EF8D7}" name="real_federal_obligations_2024USD_millions - Moving Average (2 Quarters)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969444-D5DA-4139-B7D3-6B98D3048470}" name="Table1" displayName="Table1" ref="A1:E167" totalsRowShown="0" headerRowDxfId="4">
  <autoFilter ref="A1:E167" xr:uid="{1D37896B-73DC-4916-A040-28ADF2C02538}">
    <filterColumn colId="1">
      <customFilters>
        <customFilter operator="greaterThanOrEqual" val="2008"/>
      </customFilters>
    </filterColumn>
  </autoFilter>
  <sortState xmlns:xlrd2="http://schemas.microsoft.com/office/spreadsheetml/2017/richdata2" ref="A2:E167">
    <sortCondition ref="A1:A167"/>
  </sortState>
  <tableColumns count="5">
    <tableColumn id="1" xr3:uid="{CC2ED725-7E1D-4291-BA3E-9565A53355B5}" name="Semiannual Observation_date" dataDxfId="3"/>
    <tableColumn id="5" xr3:uid="{61367E0C-97AB-4462-BE9D-F955174CF052}" name="Year" dataDxfId="2">
      <calculatedColumnFormula>YEAR(Table1[[#This Row],[Semiannual Observation_date]])</calculatedColumnFormula>
    </tableColumn>
    <tableColumn id="4" xr3:uid="{4E75AE7A-5C6D-459C-800F-2EBB75F23F7B}" name="Quarter" dataDxfId="1"/>
    <tableColumn id="6" xr3:uid="{342B5A8C-ED01-436B-978E-1A83102F4C7A}" name="YearQuarter" dataDxfId="0">
      <calculatedColumnFormula>_xlfn.CONCAT(Table1[[#This Row],[Year]],"Q",Table1[[#This Row],[Quarter]])</calculatedColumnFormula>
    </tableColumn>
    <tableColumn id="2" xr3:uid="{77B0ACB3-5909-49B5-B644-FF3A058E6539}" name="Consumer Price Index for All Items in Urban Hawaii (CBSA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zoomScaleNormal="100" workbookViewId="0">
      <selection activeCell="D10" sqref="D10"/>
    </sheetView>
  </sheetViews>
  <sheetFormatPr defaultColWidth="14.44140625" defaultRowHeight="15" customHeight="1" x14ac:dyDescent="0.3"/>
  <cols>
    <col min="1" max="1" width="18.5546875" bestFit="1" customWidth="1"/>
    <col min="2" max="2" width="44.88671875" bestFit="1" customWidth="1"/>
    <col min="3" max="3" width="45.44140625" bestFit="1" customWidth="1"/>
    <col min="4" max="4" width="54.109375" bestFit="1" customWidth="1"/>
    <col min="5" max="5" width="65.33203125" bestFit="1" customWidth="1"/>
    <col min="6" max="25" width="8.6640625" customWidth="1"/>
  </cols>
  <sheetData>
    <row r="1" spans="1:5" s="19" customFormat="1" ht="15.75" x14ac:dyDescent="0.3">
      <c r="A1" s="25" t="s">
        <v>86</v>
      </c>
      <c r="B1" s="25" t="s">
        <v>90</v>
      </c>
      <c r="C1" s="25" t="s">
        <v>89</v>
      </c>
      <c r="D1" s="25" t="s">
        <v>91</v>
      </c>
      <c r="E1" s="25" t="s">
        <v>92</v>
      </c>
    </row>
    <row r="2" spans="1:5" ht="15" customHeight="1" x14ac:dyDescent="0.3">
      <c r="A2" s="23" t="s">
        <v>3</v>
      </c>
      <c r="B2" s="26">
        <v>77352.399999999994</v>
      </c>
      <c r="C2" s="24">
        <v>96.658674948240204</v>
      </c>
      <c r="D2" s="24">
        <v>4545.8999999999996</v>
      </c>
      <c r="E2" s="24">
        <v>469.3</v>
      </c>
    </row>
    <row r="3" spans="1:5" ht="15" customHeight="1" x14ac:dyDescent="0.3">
      <c r="A3" s="23" t="s">
        <v>4</v>
      </c>
      <c r="B3" s="26">
        <v>77990.399999999994</v>
      </c>
      <c r="C3" s="24">
        <v>122.21864357864401</v>
      </c>
      <c r="D3" s="24">
        <v>4327.2</v>
      </c>
      <c r="E3" s="24">
        <v>521.60715049222733</v>
      </c>
    </row>
    <row r="4" spans="1:5" ht="15" customHeight="1" x14ac:dyDescent="0.3">
      <c r="A4" s="23" t="s">
        <v>5</v>
      </c>
      <c r="B4" s="26">
        <v>76898.3</v>
      </c>
      <c r="C4" s="24">
        <v>115.38038270907801</v>
      </c>
      <c r="D4" s="24">
        <v>3939.9</v>
      </c>
      <c r="E4" s="24">
        <v>531.19287104073203</v>
      </c>
    </row>
    <row r="5" spans="1:5" ht="15" customHeight="1" x14ac:dyDescent="0.3">
      <c r="A5" s="23" t="s">
        <v>6</v>
      </c>
      <c r="B5" s="26">
        <v>75079.7</v>
      </c>
      <c r="C5" s="24">
        <v>55.0629057971015</v>
      </c>
      <c r="D5" s="24">
        <v>3834.8</v>
      </c>
      <c r="E5" s="24">
        <v>690.28895901244437</v>
      </c>
    </row>
    <row r="6" spans="1:5" ht="15" customHeight="1" x14ac:dyDescent="0.3">
      <c r="A6" s="23" t="s">
        <v>7</v>
      </c>
      <c r="B6" s="26">
        <v>74246.5</v>
      </c>
      <c r="C6" s="24">
        <v>44.222590909090897</v>
      </c>
      <c r="D6" s="24">
        <v>3742.7</v>
      </c>
      <c r="E6" s="24">
        <v>953.99407085445</v>
      </c>
    </row>
    <row r="7" spans="1:5" ht="15" customHeight="1" x14ac:dyDescent="0.3">
      <c r="A7" s="23" t="s">
        <v>8</v>
      </c>
      <c r="B7" s="26">
        <v>74269.7</v>
      </c>
      <c r="C7" s="24">
        <v>58.866839826839801</v>
      </c>
      <c r="D7" s="24">
        <v>3638.5</v>
      </c>
      <c r="E7" s="24">
        <v>833.30092646994353</v>
      </c>
    </row>
    <row r="8" spans="1:5" ht="15.75" x14ac:dyDescent="0.3">
      <c r="A8" s="23" t="s">
        <v>9</v>
      </c>
      <c r="B8" s="26">
        <v>73798</v>
      </c>
      <c r="C8" s="24">
        <v>68.336478135391204</v>
      </c>
      <c r="D8" s="24">
        <v>3528.2</v>
      </c>
      <c r="E8" s="24">
        <v>787.4922771152178</v>
      </c>
    </row>
    <row r="9" spans="1:5" ht="15" customHeight="1" x14ac:dyDescent="0.3">
      <c r="A9" s="23" t="s">
        <v>10</v>
      </c>
      <c r="B9" s="26">
        <v>74159.899999999994</v>
      </c>
      <c r="C9" s="24">
        <v>74.898289415898105</v>
      </c>
      <c r="D9" s="24">
        <v>3596.7</v>
      </c>
      <c r="E9" s="24">
        <v>1307.7303838793928</v>
      </c>
    </row>
    <row r="10" spans="1:5" ht="15" customHeight="1" x14ac:dyDescent="0.3">
      <c r="A10" s="23" t="s">
        <v>11</v>
      </c>
      <c r="B10" s="26">
        <v>75196</v>
      </c>
      <c r="C10" s="24">
        <v>76.674837129054495</v>
      </c>
      <c r="D10" s="24">
        <v>3635.5</v>
      </c>
      <c r="E10" s="24">
        <v>1355.7320431197322</v>
      </c>
    </row>
    <row r="11" spans="1:5" ht="15" customHeight="1" x14ac:dyDescent="0.3">
      <c r="A11" s="23" t="s">
        <v>12</v>
      </c>
      <c r="B11" s="26">
        <v>75651.5</v>
      </c>
      <c r="C11" s="24">
        <v>78.845036075036106</v>
      </c>
      <c r="D11" s="24">
        <v>3842.3</v>
      </c>
      <c r="E11" s="24">
        <v>866.64304192933082</v>
      </c>
    </row>
    <row r="12" spans="1:5" ht="15" customHeight="1" x14ac:dyDescent="0.3">
      <c r="A12" s="23" t="s">
        <v>13</v>
      </c>
      <c r="B12" s="26">
        <v>76718</v>
      </c>
      <c r="C12" s="24">
        <v>76.674999999999997</v>
      </c>
      <c r="D12" s="24">
        <v>4221</v>
      </c>
      <c r="E12" s="24">
        <v>735.7874227193397</v>
      </c>
    </row>
    <row r="13" spans="1:5" ht="15" customHeight="1" x14ac:dyDescent="0.3">
      <c r="A13" s="23" t="s">
        <v>14</v>
      </c>
      <c r="B13" s="26">
        <v>76955.199999999997</v>
      </c>
      <c r="C13" s="24">
        <v>87.033160173160198</v>
      </c>
      <c r="D13" s="24">
        <v>4194.3999999999996</v>
      </c>
      <c r="E13" s="24">
        <v>1049.9500383611116</v>
      </c>
    </row>
    <row r="14" spans="1:5" ht="15" customHeight="1" x14ac:dyDescent="0.3">
      <c r="A14" s="23" t="s">
        <v>15</v>
      </c>
      <c r="B14" s="26">
        <v>76974.8</v>
      </c>
      <c r="C14" s="24">
        <v>105.369424085576</v>
      </c>
      <c r="D14" s="24">
        <v>4215.8</v>
      </c>
      <c r="E14" s="24">
        <v>1830.4401764430258</v>
      </c>
    </row>
    <row r="15" spans="1:5" ht="15" customHeight="1" x14ac:dyDescent="0.3">
      <c r="A15" s="23" t="s">
        <v>16</v>
      </c>
      <c r="B15" s="26">
        <v>76992.3</v>
      </c>
      <c r="C15" s="24">
        <v>117.541904761905</v>
      </c>
      <c r="D15" s="24">
        <v>4062.9</v>
      </c>
      <c r="E15" s="24">
        <v>2143.8331863729945</v>
      </c>
    </row>
    <row r="16" spans="1:5" ht="15" customHeight="1" x14ac:dyDescent="0.3">
      <c r="A16" s="23" t="s">
        <v>17</v>
      </c>
      <c r="B16" s="26">
        <v>76766.8</v>
      </c>
      <c r="C16" s="24">
        <v>113.266947738252</v>
      </c>
      <c r="D16" s="24">
        <v>4205.3999999999996</v>
      </c>
      <c r="E16" s="24">
        <v>1924.6721591345506</v>
      </c>
    </row>
    <row r="17" spans="1:5" ht="15" customHeight="1" x14ac:dyDescent="0.3">
      <c r="A17" s="23" t="s">
        <v>18</v>
      </c>
      <c r="B17" s="26">
        <v>77962.899999999994</v>
      </c>
      <c r="C17" s="24">
        <v>109.978629148629</v>
      </c>
      <c r="D17" s="24">
        <v>4335.3</v>
      </c>
      <c r="E17" s="24">
        <v>2186.8054265066721</v>
      </c>
    </row>
    <row r="18" spans="1:5" ht="15" customHeight="1" x14ac:dyDescent="0.3">
      <c r="A18" s="23" t="s">
        <v>19</v>
      </c>
      <c r="B18" s="26">
        <v>78088.899999999994</v>
      </c>
      <c r="C18" s="24">
        <v>118.427965367965</v>
      </c>
      <c r="D18" s="24">
        <v>4697.6000000000004</v>
      </c>
      <c r="E18" s="24">
        <v>2327.2947258130457</v>
      </c>
    </row>
    <row r="19" spans="1:5" ht="15" customHeight="1" x14ac:dyDescent="0.3">
      <c r="A19" s="23" t="s">
        <v>20</v>
      </c>
      <c r="B19" s="26">
        <v>78728.3</v>
      </c>
      <c r="C19" s="24">
        <v>109.060407177364</v>
      </c>
      <c r="D19" s="24">
        <v>4780.6000000000004</v>
      </c>
      <c r="E19" s="24">
        <v>2082.0025936471939</v>
      </c>
    </row>
    <row r="20" spans="1:5" ht="15.75" customHeight="1" x14ac:dyDescent="0.3">
      <c r="A20" s="23" t="s">
        <v>21</v>
      </c>
      <c r="B20" s="26">
        <v>79072.600000000006</v>
      </c>
      <c r="C20" s="24">
        <v>110.133826745718</v>
      </c>
      <c r="D20" s="24">
        <v>4905.7</v>
      </c>
      <c r="E20" s="24">
        <v>1985.2347156192893</v>
      </c>
    </row>
    <row r="21" spans="1:5" ht="15.75" customHeight="1" x14ac:dyDescent="0.3">
      <c r="A21" s="23" t="s">
        <v>22</v>
      </c>
      <c r="B21" s="26">
        <v>78886.3</v>
      </c>
      <c r="C21" s="24">
        <v>110.424491498839</v>
      </c>
      <c r="D21" s="24">
        <v>4972.3</v>
      </c>
      <c r="E21" s="24">
        <v>2110.9505681114488</v>
      </c>
    </row>
    <row r="22" spans="1:5" ht="15.75" customHeight="1" x14ac:dyDescent="0.3">
      <c r="A22" s="23" t="s">
        <v>23</v>
      </c>
      <c r="B22" s="26">
        <v>80480.100000000006</v>
      </c>
      <c r="C22" s="24">
        <v>112.86718012422401</v>
      </c>
      <c r="D22" s="24">
        <v>4837.5</v>
      </c>
      <c r="E22" s="24">
        <v>2188.3623546356675</v>
      </c>
    </row>
    <row r="23" spans="1:5" ht="15.75" customHeight="1" x14ac:dyDescent="0.3">
      <c r="A23" s="23" t="s">
        <v>24</v>
      </c>
      <c r="B23" s="26">
        <v>80183.7</v>
      </c>
      <c r="C23" s="24">
        <v>103.099644927536</v>
      </c>
      <c r="D23" s="24">
        <v>4822.8</v>
      </c>
      <c r="E23" s="24">
        <v>1958.9962271230083</v>
      </c>
    </row>
    <row r="24" spans="1:5" ht="15.75" customHeight="1" x14ac:dyDescent="0.3">
      <c r="A24" s="23" t="s">
        <v>25</v>
      </c>
      <c r="B24" s="26">
        <v>80590.7</v>
      </c>
      <c r="C24" s="24">
        <v>110.26686805947701</v>
      </c>
      <c r="D24" s="24">
        <v>4815</v>
      </c>
      <c r="E24" s="24">
        <v>1807.6368723730266</v>
      </c>
    </row>
    <row r="25" spans="1:5" ht="15.75" customHeight="1" x14ac:dyDescent="0.3">
      <c r="A25" s="23" t="s">
        <v>26</v>
      </c>
      <c r="B25" s="26">
        <v>80884.899999999994</v>
      </c>
      <c r="C25" s="24">
        <v>109.613208796035</v>
      </c>
      <c r="D25" s="24">
        <v>4742.5</v>
      </c>
      <c r="E25" s="24">
        <v>2060.8832345687742</v>
      </c>
    </row>
    <row r="26" spans="1:5" ht="15.75" customHeight="1" x14ac:dyDescent="0.3">
      <c r="A26" s="23" t="s">
        <v>27</v>
      </c>
      <c r="B26" s="26">
        <v>80381.2</v>
      </c>
      <c r="C26" s="24">
        <v>108.211017253278</v>
      </c>
      <c r="D26" s="24">
        <v>4917.6000000000004</v>
      </c>
      <c r="E26" s="24">
        <v>1508.0058061635746</v>
      </c>
    </row>
    <row r="27" spans="1:5" ht="15.75" customHeight="1" x14ac:dyDescent="0.3">
      <c r="A27" s="23" t="s">
        <v>28</v>
      </c>
      <c r="B27" s="26">
        <v>81088.399999999994</v>
      </c>
      <c r="C27" s="24">
        <v>110.02562049062</v>
      </c>
      <c r="D27" s="24">
        <v>4805.3999999999996</v>
      </c>
      <c r="E27" s="24">
        <v>711.40935977717788</v>
      </c>
    </row>
    <row r="28" spans="1:5" ht="15.75" customHeight="1" x14ac:dyDescent="0.3">
      <c r="A28" s="23" t="s">
        <v>29</v>
      </c>
      <c r="B28" s="26">
        <v>81876.600000000006</v>
      </c>
      <c r="C28" s="24">
        <v>102.57241357676099</v>
      </c>
      <c r="D28" s="24">
        <v>4836.7</v>
      </c>
      <c r="E28" s="24">
        <v>764.4086909140176</v>
      </c>
    </row>
    <row r="29" spans="1:5" ht="15.75" customHeight="1" x14ac:dyDescent="0.3">
      <c r="A29" s="23" t="s">
        <v>30</v>
      </c>
      <c r="B29" s="26">
        <v>81873.399999999994</v>
      </c>
      <c r="C29" s="24">
        <v>76.572731884058001</v>
      </c>
      <c r="D29" s="24">
        <v>4900</v>
      </c>
      <c r="E29" s="24">
        <v>1091.1050096454339</v>
      </c>
    </row>
    <row r="30" spans="1:5" ht="15.75" customHeight="1" x14ac:dyDescent="0.3">
      <c r="A30" s="23" t="s">
        <v>31</v>
      </c>
      <c r="B30" s="26">
        <v>83001.3</v>
      </c>
      <c r="C30" s="24">
        <v>54.570575757575703</v>
      </c>
      <c r="D30" s="24">
        <v>4851.3999999999996</v>
      </c>
      <c r="E30" s="24">
        <v>1177.3868116453896</v>
      </c>
    </row>
    <row r="31" spans="1:5" ht="15.75" customHeight="1" x14ac:dyDescent="0.3">
      <c r="A31" s="23" t="s">
        <v>32</v>
      </c>
      <c r="B31" s="26">
        <v>83774.8</v>
      </c>
      <c r="C31" s="24">
        <v>62.546724386724399</v>
      </c>
      <c r="D31" s="24">
        <v>4891.3</v>
      </c>
      <c r="E31" s="24">
        <v>865.09880898824099</v>
      </c>
    </row>
    <row r="32" spans="1:5" ht="15.75" customHeight="1" x14ac:dyDescent="0.3">
      <c r="A32" s="23" t="s">
        <v>33</v>
      </c>
      <c r="B32" s="26">
        <v>84134.2</v>
      </c>
      <c r="C32" s="24">
        <v>50.797943095551801</v>
      </c>
      <c r="D32" s="24">
        <v>4852.3</v>
      </c>
      <c r="E32" s="24">
        <v>832.55603148464002</v>
      </c>
    </row>
    <row r="33" spans="1:5" ht="15.75" customHeight="1" x14ac:dyDescent="0.3">
      <c r="A33" s="23" t="s">
        <v>34</v>
      </c>
      <c r="B33" s="26">
        <v>84520.3</v>
      </c>
      <c r="C33" s="24">
        <v>44.175606374301999</v>
      </c>
      <c r="D33" s="24">
        <v>4907</v>
      </c>
      <c r="E33" s="24">
        <v>1063.4519789928452</v>
      </c>
    </row>
    <row r="34" spans="1:5" ht="15.75" customHeight="1" x14ac:dyDescent="0.3">
      <c r="A34" s="23" t="s">
        <v>35</v>
      </c>
      <c r="B34" s="26">
        <v>85068.9</v>
      </c>
      <c r="C34" s="24">
        <v>35.199930986887502</v>
      </c>
      <c r="D34" s="24">
        <v>4975.3</v>
      </c>
      <c r="E34" s="24">
        <v>1096.130376378992</v>
      </c>
    </row>
    <row r="35" spans="1:5" ht="15.75" customHeight="1" x14ac:dyDescent="0.3">
      <c r="A35" s="23" t="s">
        <v>36</v>
      </c>
      <c r="B35" s="26">
        <v>85526.3</v>
      </c>
      <c r="C35" s="24">
        <v>46.980916305916303</v>
      </c>
      <c r="D35" s="24">
        <v>5049.8999999999996</v>
      </c>
      <c r="E35" s="24">
        <v>962.61685647520426</v>
      </c>
    </row>
    <row r="36" spans="1:5" ht="15.75" customHeight="1" x14ac:dyDescent="0.3">
      <c r="A36" s="23" t="s">
        <v>37</v>
      </c>
      <c r="B36" s="26">
        <v>85837.4</v>
      </c>
      <c r="C36" s="24">
        <v>47.009187841144403</v>
      </c>
      <c r="D36" s="24">
        <v>5099.2</v>
      </c>
      <c r="E36" s="24">
        <v>881.75308755054039</v>
      </c>
    </row>
    <row r="37" spans="1:5" ht="15.75" customHeight="1" x14ac:dyDescent="0.3">
      <c r="A37" s="23" t="s">
        <v>38</v>
      </c>
      <c r="B37" s="26">
        <v>86249.1</v>
      </c>
      <c r="C37" s="24">
        <v>51.126269841269803</v>
      </c>
      <c r="D37" s="24">
        <v>5196.5</v>
      </c>
      <c r="E37" s="24">
        <v>1053.906173647797</v>
      </c>
    </row>
    <row r="38" spans="1:5" ht="15.75" customHeight="1" x14ac:dyDescent="0.3">
      <c r="A38" s="23" t="s">
        <v>39</v>
      </c>
      <c r="B38" s="26">
        <v>86952.5</v>
      </c>
      <c r="C38" s="24">
        <v>54.820708827404502</v>
      </c>
      <c r="D38" s="24">
        <v>5193</v>
      </c>
      <c r="E38" s="24">
        <v>1160.0735589690889</v>
      </c>
    </row>
    <row r="39" spans="1:5" ht="15.75" customHeight="1" x14ac:dyDescent="0.3">
      <c r="A39" s="23" t="s">
        <v>40</v>
      </c>
      <c r="B39" s="26">
        <v>87167.1</v>
      </c>
      <c r="C39" s="24">
        <v>51.001691699604699</v>
      </c>
      <c r="D39" s="24">
        <v>5115.8999999999996</v>
      </c>
      <c r="E39" s="24">
        <v>1005.4113851768129</v>
      </c>
    </row>
    <row r="40" spans="1:5" ht="15.75" customHeight="1" x14ac:dyDescent="0.3">
      <c r="A40" s="23" t="s">
        <v>41</v>
      </c>
      <c r="B40" s="26">
        <v>87677.6</v>
      </c>
      <c r="C40" s="24">
        <v>52.246259489303</v>
      </c>
      <c r="D40" s="24">
        <v>5186.3999999999996</v>
      </c>
      <c r="E40" s="24">
        <v>944.7466771087727</v>
      </c>
    </row>
    <row r="41" spans="1:5" ht="15.75" customHeight="1" x14ac:dyDescent="0.3">
      <c r="A41" s="23" t="s">
        <v>42</v>
      </c>
      <c r="B41" s="26">
        <v>87948.2</v>
      </c>
      <c r="C41" s="24">
        <v>61.479004329004297</v>
      </c>
      <c r="D41" s="24">
        <v>5302.3</v>
      </c>
      <c r="E41" s="24">
        <v>1128.0929382707013</v>
      </c>
    </row>
    <row r="42" spans="1:5" ht="15.75" customHeight="1" x14ac:dyDescent="0.3">
      <c r="A42" s="23" t="s">
        <v>43</v>
      </c>
      <c r="B42" s="26">
        <v>88319.5</v>
      </c>
      <c r="C42" s="24">
        <v>67.159149538866899</v>
      </c>
      <c r="D42" s="24">
        <v>5442.9</v>
      </c>
      <c r="E42" s="24">
        <v>1143.3933581164426</v>
      </c>
    </row>
    <row r="43" spans="1:5" ht="15.75" customHeight="1" x14ac:dyDescent="0.3">
      <c r="A43" s="23" t="s">
        <v>44</v>
      </c>
      <c r="B43" s="26">
        <v>89232.3</v>
      </c>
      <c r="C43" s="24">
        <v>74.8900207039338</v>
      </c>
      <c r="D43" s="24">
        <v>5506</v>
      </c>
      <c r="E43" s="24">
        <v>1024.5608960522682</v>
      </c>
    </row>
    <row r="44" spans="1:5" ht="15.75" customHeight="1" x14ac:dyDescent="0.3">
      <c r="A44" s="23" t="s">
        <v>45</v>
      </c>
      <c r="B44" s="26">
        <v>88903.6</v>
      </c>
      <c r="C44" s="24">
        <v>76.081131752305694</v>
      </c>
      <c r="D44" s="24">
        <v>5351.9</v>
      </c>
      <c r="E44" s="24">
        <v>1075.8896387458899</v>
      </c>
    </row>
    <row r="45" spans="1:5" ht="15.75" customHeight="1" x14ac:dyDescent="0.3">
      <c r="A45" s="23" t="s">
        <v>46</v>
      </c>
      <c r="B45" s="26">
        <v>88890.3</v>
      </c>
      <c r="C45" s="24">
        <v>68.320069954200406</v>
      </c>
      <c r="D45" s="24">
        <v>5240.5</v>
      </c>
      <c r="E45" s="24">
        <v>1220.7414188414109</v>
      </c>
    </row>
    <row r="46" spans="1:5" ht="15.75" customHeight="1" x14ac:dyDescent="0.3">
      <c r="A46" s="23" t="s">
        <v>47</v>
      </c>
      <c r="B46" s="26">
        <v>88668.7</v>
      </c>
      <c r="C46" s="24">
        <v>63.756895790200097</v>
      </c>
      <c r="D46" s="24">
        <v>5239.1000000000004</v>
      </c>
      <c r="E46" s="24">
        <v>1226.7003082870083</v>
      </c>
    </row>
    <row r="47" spans="1:5" ht="15.75" customHeight="1" x14ac:dyDescent="0.3">
      <c r="A47" s="23" t="s">
        <v>48</v>
      </c>
      <c r="B47" s="26">
        <v>88374.6</v>
      </c>
      <c r="C47" s="24">
        <v>68.357846508563895</v>
      </c>
      <c r="D47" s="24">
        <v>5336.2</v>
      </c>
      <c r="E47" s="24">
        <v>1075.5216030798174</v>
      </c>
    </row>
    <row r="48" spans="1:5" ht="15.75" customHeight="1" x14ac:dyDescent="0.3">
      <c r="A48" s="23" t="s">
        <v>49</v>
      </c>
      <c r="B48" s="26">
        <v>89018.8</v>
      </c>
      <c r="C48" s="24">
        <v>62.123769370725903</v>
      </c>
      <c r="D48" s="24">
        <v>5383.7</v>
      </c>
      <c r="E48" s="24">
        <v>1079.3282389492983</v>
      </c>
    </row>
    <row r="49" spans="1:5" ht="15.75" customHeight="1" x14ac:dyDescent="0.3">
      <c r="A49" s="23" t="s">
        <v>50</v>
      </c>
      <c r="B49" s="26">
        <v>89358.8</v>
      </c>
      <c r="C49" s="24">
        <v>62.555384277558197</v>
      </c>
      <c r="D49" s="24">
        <v>5382.7</v>
      </c>
      <c r="E49" s="24">
        <v>1223.8457242931934</v>
      </c>
    </row>
    <row r="50" spans="1:5" ht="15.75" customHeight="1" x14ac:dyDescent="0.3">
      <c r="A50" s="23" t="s">
        <v>51</v>
      </c>
      <c r="B50" s="26">
        <v>86828.7</v>
      </c>
      <c r="C50" s="24">
        <v>51.178989459815497</v>
      </c>
      <c r="D50" s="24">
        <v>4511.6000000000004</v>
      </c>
      <c r="E50" s="24">
        <v>1226.669674573915</v>
      </c>
    </row>
    <row r="51" spans="1:5" ht="15.75" customHeight="1" x14ac:dyDescent="0.3">
      <c r="A51" s="23" t="s">
        <v>52</v>
      </c>
      <c r="B51" s="26">
        <v>74933.2</v>
      </c>
      <c r="C51" s="24">
        <v>33.377157287157303</v>
      </c>
      <c r="D51" s="24">
        <v>0</v>
      </c>
      <c r="E51" s="24">
        <v>1093.7753144665121</v>
      </c>
    </row>
    <row r="52" spans="1:5" ht="15.75" customHeight="1" x14ac:dyDescent="0.3">
      <c r="A52" s="23" t="s">
        <v>53</v>
      </c>
      <c r="B52" s="26">
        <v>77388.600000000006</v>
      </c>
      <c r="C52" s="24">
        <v>43.4346329757199</v>
      </c>
      <c r="D52" s="24">
        <v>0</v>
      </c>
      <c r="E52" s="24">
        <v>1923.1284233676433</v>
      </c>
    </row>
    <row r="53" spans="1:5" ht="15.75" customHeight="1" x14ac:dyDescent="0.3">
      <c r="A53" s="23" t="s">
        <v>54</v>
      </c>
      <c r="B53" s="26">
        <v>79636.7</v>
      </c>
      <c r="C53" s="24">
        <v>45.344591567852397</v>
      </c>
      <c r="D53" s="24">
        <v>0</v>
      </c>
      <c r="E53" s="24">
        <v>2228.4876893747974</v>
      </c>
    </row>
    <row r="54" spans="1:5" ht="15.75" customHeight="1" x14ac:dyDescent="0.3">
      <c r="A54" s="23" t="s">
        <v>55</v>
      </c>
      <c r="B54" s="26">
        <v>81205.7</v>
      </c>
      <c r="C54" s="24">
        <v>61.127782953761198</v>
      </c>
      <c r="D54" s="24">
        <v>1821.2</v>
      </c>
      <c r="E54" s="24">
        <v>1412.3400088214005</v>
      </c>
    </row>
    <row r="55" spans="1:5" ht="15.75" customHeight="1" x14ac:dyDescent="0.3">
      <c r="A55" s="23" t="s">
        <v>56</v>
      </c>
      <c r="B55" s="26">
        <v>84498</v>
      </c>
      <c r="C55" s="24">
        <v>69.139927849927901</v>
      </c>
      <c r="D55" s="24">
        <v>3996.7</v>
      </c>
      <c r="E55" s="24">
        <v>1581.3950419693988</v>
      </c>
    </row>
    <row r="56" spans="1:5" ht="15.75" customHeight="1" x14ac:dyDescent="0.3">
      <c r="A56" s="23" t="s">
        <v>57</v>
      </c>
      <c r="B56" s="26">
        <v>86538</v>
      </c>
      <c r="C56" s="24">
        <v>73.2469696969697</v>
      </c>
      <c r="D56" s="24">
        <v>4510.3999999999996</v>
      </c>
      <c r="E56" s="24">
        <v>2203.4288929260711</v>
      </c>
    </row>
    <row r="57" spans="1:5" ht="15.75" customHeight="1" x14ac:dyDescent="0.3">
      <c r="A57" s="23" t="s">
        <v>58</v>
      </c>
      <c r="B57" s="26">
        <v>85886.5</v>
      </c>
      <c r="C57" s="24">
        <v>79.811317836752593</v>
      </c>
      <c r="D57" s="24">
        <v>4642.5</v>
      </c>
      <c r="E57" s="24">
        <v>2043.3649488147537</v>
      </c>
    </row>
    <row r="58" spans="1:5" ht="15.75" customHeight="1" x14ac:dyDescent="0.3">
      <c r="A58" s="23" t="s">
        <v>59</v>
      </c>
      <c r="B58" s="26">
        <v>86674.7</v>
      </c>
      <c r="C58" s="24">
        <v>97.443126984127005</v>
      </c>
      <c r="D58" s="24">
        <v>4645.1000000000004</v>
      </c>
      <c r="E58" s="24">
        <v>1444.5564534056437</v>
      </c>
    </row>
    <row r="59" spans="1:5" ht="15.75" customHeight="1" x14ac:dyDescent="0.3">
      <c r="A59" s="23" t="s">
        <v>60</v>
      </c>
      <c r="B59" s="26">
        <v>86881.7</v>
      </c>
      <c r="C59" s="24">
        <v>111.987359307359</v>
      </c>
      <c r="D59" s="24">
        <v>5372.6</v>
      </c>
      <c r="E59" s="24">
        <v>1216.8371122295657</v>
      </c>
    </row>
    <row r="60" spans="1:5" ht="15.75" customHeight="1" x14ac:dyDescent="0.3">
      <c r="A60" s="23" t="s">
        <v>61</v>
      </c>
      <c r="B60" s="26">
        <v>87721.8</v>
      </c>
      <c r="C60" s="24">
        <v>97.834694146433307</v>
      </c>
      <c r="D60" s="24">
        <v>5559.1</v>
      </c>
      <c r="E60" s="24">
        <v>1296.9618511705269</v>
      </c>
    </row>
    <row r="61" spans="1:5" ht="15.75" customHeight="1" x14ac:dyDescent="0.3">
      <c r="A61" s="23" t="s">
        <v>62</v>
      </c>
      <c r="B61" s="26">
        <v>88686.6</v>
      </c>
      <c r="C61" s="24">
        <v>88.720129870129895</v>
      </c>
      <c r="D61" s="24">
        <v>5554.1</v>
      </c>
      <c r="E61" s="24">
        <v>1504.6049142855356</v>
      </c>
    </row>
    <row r="62" spans="1:5" ht="15.75" customHeight="1" x14ac:dyDescent="0.3">
      <c r="A62" s="23" t="s">
        <v>63</v>
      </c>
      <c r="B62" s="26">
        <v>88745.5</v>
      </c>
      <c r="C62" s="24">
        <v>82.323613306982907</v>
      </c>
      <c r="D62" s="24">
        <v>5589.9</v>
      </c>
      <c r="E62" s="24">
        <v>1436.6972069038866</v>
      </c>
    </row>
    <row r="63" spans="1:5" ht="15.75" customHeight="1" x14ac:dyDescent="0.3">
      <c r="A63" s="23" t="s">
        <v>64</v>
      </c>
      <c r="B63" s="26">
        <v>89451.6</v>
      </c>
      <c r="C63" s="24">
        <v>78.086130434782604</v>
      </c>
      <c r="D63" s="24">
        <v>5612.4</v>
      </c>
      <c r="E63" s="24">
        <v>1291.9172602705767</v>
      </c>
    </row>
    <row r="64" spans="1:5" ht="15.75" customHeight="1" x14ac:dyDescent="0.3">
      <c r="A64" s="23" t="s">
        <v>65</v>
      </c>
      <c r="B64" s="26">
        <v>89526.7</v>
      </c>
      <c r="C64" s="24">
        <v>85.983547273982097</v>
      </c>
      <c r="D64" s="24">
        <v>5128.8999999999996</v>
      </c>
      <c r="E64" s="24">
        <v>1357.3012726003435</v>
      </c>
    </row>
    <row r="65" spans="1:5" ht="15.75" customHeight="1" x14ac:dyDescent="0.3">
      <c r="A65" s="23" t="s">
        <v>66</v>
      </c>
      <c r="B65" s="26">
        <v>90845</v>
      </c>
      <c r="C65" s="24">
        <v>82.891681096681097</v>
      </c>
      <c r="D65" s="24">
        <v>5242.1000000000004</v>
      </c>
      <c r="E65" s="24">
        <v>1593.6180792247637</v>
      </c>
    </row>
    <row r="66" spans="1:5" ht="15.75" customHeight="1" x14ac:dyDescent="0.3">
      <c r="A66" s="23" t="s">
        <v>67</v>
      </c>
      <c r="B66" s="26">
        <v>90660</v>
      </c>
      <c r="C66" s="24">
        <v>81.955714285714294</v>
      </c>
      <c r="D66" s="24">
        <v>5064.3</v>
      </c>
      <c r="E66" s="24">
        <v>1503.0650700862491</v>
      </c>
    </row>
    <row r="67" spans="1:5" ht="15.75" customHeight="1" x14ac:dyDescent="0.3">
      <c r="A67" s="23" t="s">
        <v>68</v>
      </c>
      <c r="B67" s="26">
        <v>91539</v>
      </c>
      <c r="C67" s="24">
        <v>84.9819861660079</v>
      </c>
      <c r="D67" s="24">
        <v>5077.6000000000004</v>
      </c>
      <c r="E67" s="24">
        <v>1362.2014959546805</v>
      </c>
    </row>
    <row r="68" spans="1:5" ht="15.75" customHeight="1" x14ac:dyDescent="0.3">
      <c r="A68" s="23" t="s">
        <v>69</v>
      </c>
      <c r="B68" s="26">
        <v>92495.2</v>
      </c>
      <c r="C68" s="24">
        <v>78.708317021143102</v>
      </c>
      <c r="D68" s="24">
        <v>5110</v>
      </c>
      <c r="E68" s="24">
        <v>1591.4777820049821</v>
      </c>
    </row>
    <row r="69" spans="1:5" ht="15.75" customHeight="1" x14ac:dyDescent="0.3">
      <c r="A69" s="23" t="s">
        <v>70</v>
      </c>
      <c r="B69" s="26">
        <v>92817.7</v>
      </c>
      <c r="C69" s="24">
        <v>74.000940146809697</v>
      </c>
      <c r="D69" s="24">
        <v>5228.6000000000004</v>
      </c>
      <c r="E69" s="24">
        <v>1871.1233258361326</v>
      </c>
    </row>
    <row r="70" spans="1:5" ht="15.75" customHeight="1" x14ac:dyDescent="0.3">
      <c r="A70" s="23" t="s">
        <v>71</v>
      </c>
      <c r="B70" s="26">
        <v>93750.2</v>
      </c>
      <c r="C70" s="24">
        <v>75.042780538302296</v>
      </c>
      <c r="D70" s="24">
        <v>5319.8</v>
      </c>
      <c r="E70" s="24">
        <v>1729.7125500011089</v>
      </c>
    </row>
    <row r="71" spans="1:5" ht="15.75" customHeight="1" x14ac:dyDescent="0.3">
      <c r="A71" s="23" t="s">
        <v>72</v>
      </c>
      <c r="B71" s="26">
        <v>93853.2</v>
      </c>
      <c r="C71" s="24">
        <v>66.955555555555605</v>
      </c>
      <c r="D71" s="24">
        <v>5186.7</v>
      </c>
      <c r="E71" s="24">
        <v>1304.3852538543135</v>
      </c>
    </row>
    <row r="72" spans="1:5" ht="15.75" customHeight="1" x14ac:dyDescent="0.3"/>
    <row r="73" spans="1:5" ht="15.75" customHeight="1" x14ac:dyDescent="0.3"/>
    <row r="74" spans="1:5" ht="15.75" customHeight="1" x14ac:dyDescent="0.3"/>
    <row r="75" spans="1:5" ht="15.75" customHeight="1" x14ac:dyDescent="0.3"/>
    <row r="76" spans="1:5" ht="15.75" customHeight="1" x14ac:dyDescent="0.3"/>
    <row r="77" spans="1:5" ht="15.75" customHeight="1" x14ac:dyDescent="0.3"/>
    <row r="78" spans="1:5" ht="15.75" customHeight="1" x14ac:dyDescent="0.3"/>
    <row r="79" spans="1:5" ht="15.75" customHeight="1" x14ac:dyDescent="0.3"/>
    <row r="80" spans="1:5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topLeftCell="A36" workbookViewId="0">
      <selection activeCell="C2" sqref="C2:C71"/>
    </sheetView>
  </sheetViews>
  <sheetFormatPr defaultColWidth="14.44140625" defaultRowHeight="15" customHeight="1" x14ac:dyDescent="0.3"/>
  <cols>
    <col min="1" max="2" width="16.6640625" customWidth="1"/>
    <col min="3" max="3" width="9.109375" customWidth="1"/>
    <col min="4" max="26" width="8.6640625" customWidth="1"/>
  </cols>
  <sheetData>
    <row r="1" spans="1:3" ht="14.55" x14ac:dyDescent="0.3">
      <c r="A1" s="1" t="s">
        <v>0</v>
      </c>
      <c r="B1" s="2" t="s">
        <v>1</v>
      </c>
      <c r="C1" s="2" t="s">
        <v>2</v>
      </c>
    </row>
    <row r="2" spans="1:3" ht="14.55" x14ac:dyDescent="0.3">
      <c r="A2" s="3">
        <v>39448</v>
      </c>
      <c r="B2" s="4" t="s">
        <v>3</v>
      </c>
      <c r="C2" s="5">
        <v>77352.399999999994</v>
      </c>
    </row>
    <row r="3" spans="1:3" ht="14.55" x14ac:dyDescent="0.3">
      <c r="A3" s="3">
        <v>39539</v>
      </c>
      <c r="B3" s="4" t="s">
        <v>4</v>
      </c>
      <c r="C3" s="5">
        <v>77990.399999999994</v>
      </c>
    </row>
    <row r="4" spans="1:3" ht="14.55" x14ac:dyDescent="0.3">
      <c r="A4" s="3">
        <v>39630</v>
      </c>
      <c r="B4" s="4" t="s">
        <v>5</v>
      </c>
      <c r="C4" s="5">
        <v>76898.3</v>
      </c>
    </row>
    <row r="5" spans="1:3" ht="14.55" x14ac:dyDescent="0.3">
      <c r="A5" s="3">
        <v>39722</v>
      </c>
      <c r="B5" s="4" t="s">
        <v>6</v>
      </c>
      <c r="C5" s="5">
        <v>75079.7</v>
      </c>
    </row>
    <row r="6" spans="1:3" ht="14.55" x14ac:dyDescent="0.3">
      <c r="A6" s="3">
        <v>39814</v>
      </c>
      <c r="B6" s="4" t="s">
        <v>7</v>
      </c>
      <c r="C6" s="5">
        <v>74246.5</v>
      </c>
    </row>
    <row r="7" spans="1:3" ht="14.55" x14ac:dyDescent="0.3">
      <c r="A7" s="3">
        <v>39904</v>
      </c>
      <c r="B7" s="4" t="s">
        <v>8</v>
      </c>
      <c r="C7" s="5">
        <v>74269.7</v>
      </c>
    </row>
    <row r="8" spans="1:3" ht="14.55" x14ac:dyDescent="0.3">
      <c r="A8" s="3">
        <v>39995</v>
      </c>
      <c r="B8" s="4" t="s">
        <v>9</v>
      </c>
      <c r="C8" s="5">
        <v>73798</v>
      </c>
    </row>
    <row r="9" spans="1:3" ht="14.55" x14ac:dyDescent="0.3">
      <c r="A9" s="3">
        <v>40087</v>
      </c>
      <c r="B9" s="4" t="s">
        <v>10</v>
      </c>
      <c r="C9" s="5">
        <v>74159.899999999994</v>
      </c>
    </row>
    <row r="10" spans="1:3" ht="14.55" x14ac:dyDescent="0.3">
      <c r="A10" s="3">
        <v>40179</v>
      </c>
      <c r="B10" s="4" t="s">
        <v>11</v>
      </c>
      <c r="C10" s="5">
        <v>75196</v>
      </c>
    </row>
    <row r="11" spans="1:3" ht="14.55" x14ac:dyDescent="0.3">
      <c r="A11" s="3">
        <v>40269</v>
      </c>
      <c r="B11" s="4" t="s">
        <v>12</v>
      </c>
      <c r="C11" s="5">
        <v>75651.5</v>
      </c>
    </row>
    <row r="12" spans="1:3" ht="14.55" x14ac:dyDescent="0.3">
      <c r="A12" s="3">
        <v>40360</v>
      </c>
      <c r="B12" s="4" t="s">
        <v>13</v>
      </c>
      <c r="C12" s="5">
        <v>76718</v>
      </c>
    </row>
    <row r="13" spans="1:3" ht="14.55" x14ac:dyDescent="0.3">
      <c r="A13" s="3">
        <v>40452</v>
      </c>
      <c r="B13" s="4" t="s">
        <v>14</v>
      </c>
      <c r="C13" s="5">
        <v>76955.199999999997</v>
      </c>
    </row>
    <row r="14" spans="1:3" ht="14.55" x14ac:dyDescent="0.3">
      <c r="A14" s="3">
        <v>40544</v>
      </c>
      <c r="B14" s="4" t="s">
        <v>15</v>
      </c>
      <c r="C14" s="5">
        <v>76974.8</v>
      </c>
    </row>
    <row r="15" spans="1:3" ht="14.55" x14ac:dyDescent="0.3">
      <c r="A15" s="3">
        <v>40634</v>
      </c>
      <c r="B15" s="4" t="s">
        <v>16</v>
      </c>
      <c r="C15" s="5">
        <v>76992.3</v>
      </c>
    </row>
    <row r="16" spans="1:3" ht="14.55" x14ac:dyDescent="0.3">
      <c r="A16" s="3">
        <v>40725</v>
      </c>
      <c r="B16" s="4" t="s">
        <v>17</v>
      </c>
      <c r="C16" s="5">
        <v>76766.8</v>
      </c>
    </row>
    <row r="17" spans="1:3" ht="14.55" x14ac:dyDescent="0.3">
      <c r="A17" s="3">
        <v>40817</v>
      </c>
      <c r="B17" s="4" t="s">
        <v>18</v>
      </c>
      <c r="C17" s="5">
        <v>77962.899999999994</v>
      </c>
    </row>
    <row r="18" spans="1:3" ht="14.55" x14ac:dyDescent="0.3">
      <c r="A18" s="3">
        <v>40909</v>
      </c>
      <c r="B18" s="4" t="s">
        <v>19</v>
      </c>
      <c r="C18" s="5">
        <v>78088.899999999994</v>
      </c>
    </row>
    <row r="19" spans="1:3" ht="14.55" x14ac:dyDescent="0.3">
      <c r="A19" s="3">
        <v>41000</v>
      </c>
      <c r="B19" s="4" t="s">
        <v>20</v>
      </c>
      <c r="C19" s="5">
        <v>78728.3</v>
      </c>
    </row>
    <row r="20" spans="1:3" ht="14.55" x14ac:dyDescent="0.3">
      <c r="A20" s="3">
        <v>41091</v>
      </c>
      <c r="B20" s="4" t="s">
        <v>21</v>
      </c>
      <c r="C20" s="5">
        <v>79072.600000000006</v>
      </c>
    </row>
    <row r="21" spans="1:3" ht="15.75" customHeight="1" x14ac:dyDescent="0.3">
      <c r="A21" s="3">
        <v>41183</v>
      </c>
      <c r="B21" s="4" t="s">
        <v>22</v>
      </c>
      <c r="C21" s="5">
        <v>78886.3</v>
      </c>
    </row>
    <row r="22" spans="1:3" ht="15.75" customHeight="1" x14ac:dyDescent="0.3">
      <c r="A22" s="3">
        <v>41275</v>
      </c>
      <c r="B22" s="4" t="s">
        <v>23</v>
      </c>
      <c r="C22" s="5">
        <v>80480.100000000006</v>
      </c>
    </row>
    <row r="23" spans="1:3" ht="15.75" customHeight="1" x14ac:dyDescent="0.3">
      <c r="A23" s="3">
        <v>41365</v>
      </c>
      <c r="B23" s="4" t="s">
        <v>24</v>
      </c>
      <c r="C23" s="5">
        <v>80183.7</v>
      </c>
    </row>
    <row r="24" spans="1:3" ht="15.75" customHeight="1" x14ac:dyDescent="0.3">
      <c r="A24" s="3">
        <v>41456</v>
      </c>
      <c r="B24" s="4" t="s">
        <v>25</v>
      </c>
      <c r="C24" s="5">
        <v>80590.7</v>
      </c>
    </row>
    <row r="25" spans="1:3" ht="15.75" customHeight="1" x14ac:dyDescent="0.3">
      <c r="A25" s="3">
        <v>41548</v>
      </c>
      <c r="B25" s="4" t="s">
        <v>26</v>
      </c>
      <c r="C25" s="5">
        <v>80884.899999999994</v>
      </c>
    </row>
    <row r="26" spans="1:3" ht="15.75" customHeight="1" x14ac:dyDescent="0.3">
      <c r="A26" s="3">
        <v>41640</v>
      </c>
      <c r="B26" s="4" t="s">
        <v>27</v>
      </c>
      <c r="C26" s="5">
        <v>80381.2</v>
      </c>
    </row>
    <row r="27" spans="1:3" ht="15.75" customHeight="1" x14ac:dyDescent="0.3">
      <c r="A27" s="3">
        <v>41730</v>
      </c>
      <c r="B27" s="4" t="s">
        <v>28</v>
      </c>
      <c r="C27" s="5">
        <v>81088.399999999994</v>
      </c>
    </row>
    <row r="28" spans="1:3" ht="15.75" customHeight="1" x14ac:dyDescent="0.3">
      <c r="A28" s="3">
        <v>41821</v>
      </c>
      <c r="B28" s="4" t="s">
        <v>29</v>
      </c>
      <c r="C28" s="5">
        <v>81876.600000000006</v>
      </c>
    </row>
    <row r="29" spans="1:3" ht="15.75" customHeight="1" x14ac:dyDescent="0.3">
      <c r="A29" s="3">
        <v>41913</v>
      </c>
      <c r="B29" s="4" t="s">
        <v>30</v>
      </c>
      <c r="C29" s="5">
        <v>81873.399999999994</v>
      </c>
    </row>
    <row r="30" spans="1:3" ht="15.75" customHeight="1" x14ac:dyDescent="0.3">
      <c r="A30" s="3">
        <v>42005</v>
      </c>
      <c r="B30" s="4" t="s">
        <v>31</v>
      </c>
      <c r="C30" s="5">
        <v>83001.3</v>
      </c>
    </row>
    <row r="31" spans="1:3" ht="15.75" customHeight="1" x14ac:dyDescent="0.3">
      <c r="A31" s="3">
        <v>42095</v>
      </c>
      <c r="B31" s="4" t="s">
        <v>32</v>
      </c>
      <c r="C31" s="5">
        <v>83774.8</v>
      </c>
    </row>
    <row r="32" spans="1:3" ht="15.75" customHeight="1" x14ac:dyDescent="0.3">
      <c r="A32" s="3">
        <v>42186</v>
      </c>
      <c r="B32" s="4" t="s">
        <v>33</v>
      </c>
      <c r="C32" s="5">
        <v>84134.2</v>
      </c>
    </row>
    <row r="33" spans="1:3" ht="15.75" customHeight="1" x14ac:dyDescent="0.3">
      <c r="A33" s="3">
        <v>42278</v>
      </c>
      <c r="B33" s="4" t="s">
        <v>34</v>
      </c>
      <c r="C33" s="5">
        <v>84520.3</v>
      </c>
    </row>
    <row r="34" spans="1:3" ht="15.75" customHeight="1" x14ac:dyDescent="0.3">
      <c r="A34" s="3">
        <v>42370</v>
      </c>
      <c r="B34" s="4" t="s">
        <v>35</v>
      </c>
      <c r="C34" s="5">
        <v>85068.9</v>
      </c>
    </row>
    <row r="35" spans="1:3" ht="15.75" customHeight="1" x14ac:dyDescent="0.3">
      <c r="A35" s="3">
        <v>42461</v>
      </c>
      <c r="B35" s="4" t="s">
        <v>36</v>
      </c>
      <c r="C35" s="5">
        <v>85526.3</v>
      </c>
    </row>
    <row r="36" spans="1:3" ht="15.75" customHeight="1" x14ac:dyDescent="0.3">
      <c r="A36" s="3">
        <v>42552</v>
      </c>
      <c r="B36" s="4" t="s">
        <v>37</v>
      </c>
      <c r="C36" s="5">
        <v>85837.4</v>
      </c>
    </row>
    <row r="37" spans="1:3" ht="15.75" customHeight="1" x14ac:dyDescent="0.3">
      <c r="A37" s="3">
        <v>42644</v>
      </c>
      <c r="B37" s="4" t="s">
        <v>38</v>
      </c>
      <c r="C37" s="5">
        <v>86249.1</v>
      </c>
    </row>
    <row r="38" spans="1:3" ht="15.75" customHeight="1" x14ac:dyDescent="0.3">
      <c r="A38" s="3">
        <v>42736</v>
      </c>
      <c r="B38" s="4" t="s">
        <v>39</v>
      </c>
      <c r="C38" s="5">
        <v>86952.5</v>
      </c>
    </row>
    <row r="39" spans="1:3" ht="15.75" customHeight="1" x14ac:dyDescent="0.3">
      <c r="A39" s="3">
        <v>42826</v>
      </c>
      <c r="B39" s="4" t="s">
        <v>40</v>
      </c>
      <c r="C39" s="5">
        <v>87167.1</v>
      </c>
    </row>
    <row r="40" spans="1:3" ht="15.75" customHeight="1" x14ac:dyDescent="0.3">
      <c r="A40" s="3">
        <v>42917</v>
      </c>
      <c r="B40" s="4" t="s">
        <v>41</v>
      </c>
      <c r="C40" s="5">
        <v>87677.6</v>
      </c>
    </row>
    <row r="41" spans="1:3" ht="15.75" customHeight="1" x14ac:dyDescent="0.3">
      <c r="A41" s="3">
        <v>43009</v>
      </c>
      <c r="B41" s="4" t="s">
        <v>42</v>
      </c>
      <c r="C41" s="5">
        <v>87948.2</v>
      </c>
    </row>
    <row r="42" spans="1:3" ht="15.75" customHeight="1" x14ac:dyDescent="0.3">
      <c r="A42" s="3">
        <v>43101</v>
      </c>
      <c r="B42" s="4" t="s">
        <v>43</v>
      </c>
      <c r="C42" s="5">
        <v>88319.5</v>
      </c>
    </row>
    <row r="43" spans="1:3" ht="15.75" customHeight="1" x14ac:dyDescent="0.3">
      <c r="A43" s="3">
        <v>43191</v>
      </c>
      <c r="B43" s="4" t="s">
        <v>44</v>
      </c>
      <c r="C43" s="5">
        <v>89232.3</v>
      </c>
    </row>
    <row r="44" spans="1:3" ht="15.75" customHeight="1" x14ac:dyDescent="0.3">
      <c r="A44" s="3">
        <v>43282</v>
      </c>
      <c r="B44" s="4" t="s">
        <v>45</v>
      </c>
      <c r="C44" s="5">
        <v>88903.6</v>
      </c>
    </row>
    <row r="45" spans="1:3" ht="15.75" customHeight="1" x14ac:dyDescent="0.3">
      <c r="A45" s="3">
        <v>43374</v>
      </c>
      <c r="B45" s="4" t="s">
        <v>46</v>
      </c>
      <c r="C45" s="5">
        <v>88890.3</v>
      </c>
    </row>
    <row r="46" spans="1:3" ht="15.75" customHeight="1" x14ac:dyDescent="0.3">
      <c r="A46" s="3">
        <v>43466</v>
      </c>
      <c r="B46" s="4" t="s">
        <v>47</v>
      </c>
      <c r="C46" s="5">
        <v>88668.7</v>
      </c>
    </row>
    <row r="47" spans="1:3" ht="15.75" customHeight="1" x14ac:dyDescent="0.3">
      <c r="A47" s="3">
        <v>43556</v>
      </c>
      <c r="B47" s="4" t="s">
        <v>48</v>
      </c>
      <c r="C47" s="5">
        <v>88374.6</v>
      </c>
    </row>
    <row r="48" spans="1:3" ht="15.75" customHeight="1" x14ac:dyDescent="0.3">
      <c r="A48" s="3">
        <v>43647</v>
      </c>
      <c r="B48" s="4" t="s">
        <v>49</v>
      </c>
      <c r="C48" s="5">
        <v>89018.8</v>
      </c>
    </row>
    <row r="49" spans="1:3" ht="15.75" customHeight="1" x14ac:dyDescent="0.3">
      <c r="A49" s="3">
        <v>43739</v>
      </c>
      <c r="B49" s="4" t="s">
        <v>50</v>
      </c>
      <c r="C49" s="5">
        <v>89358.8</v>
      </c>
    </row>
    <row r="50" spans="1:3" ht="15.75" customHeight="1" x14ac:dyDescent="0.3">
      <c r="A50" s="3">
        <v>43831</v>
      </c>
      <c r="B50" s="4" t="s">
        <v>51</v>
      </c>
      <c r="C50" s="5">
        <v>86828.7</v>
      </c>
    </row>
    <row r="51" spans="1:3" ht="15.75" customHeight="1" x14ac:dyDescent="0.3">
      <c r="A51" s="3">
        <v>43922</v>
      </c>
      <c r="B51" s="4" t="s">
        <v>52</v>
      </c>
      <c r="C51" s="5">
        <v>74933.2</v>
      </c>
    </row>
    <row r="52" spans="1:3" ht="15.75" customHeight="1" x14ac:dyDescent="0.3">
      <c r="A52" s="3">
        <v>44013</v>
      </c>
      <c r="B52" s="4" t="s">
        <v>53</v>
      </c>
      <c r="C52" s="5">
        <v>77388.600000000006</v>
      </c>
    </row>
    <row r="53" spans="1:3" ht="15.75" customHeight="1" x14ac:dyDescent="0.3">
      <c r="A53" s="3">
        <v>44105</v>
      </c>
      <c r="B53" s="4" t="s">
        <v>54</v>
      </c>
      <c r="C53" s="5">
        <v>79636.7</v>
      </c>
    </row>
    <row r="54" spans="1:3" ht="15.75" customHeight="1" x14ac:dyDescent="0.3">
      <c r="A54" s="3">
        <v>44197</v>
      </c>
      <c r="B54" s="4" t="s">
        <v>55</v>
      </c>
      <c r="C54" s="5">
        <v>81205.7</v>
      </c>
    </row>
    <row r="55" spans="1:3" ht="15.75" customHeight="1" x14ac:dyDescent="0.3">
      <c r="A55" s="3">
        <v>44287</v>
      </c>
      <c r="B55" s="4" t="s">
        <v>56</v>
      </c>
      <c r="C55" s="5">
        <v>84498</v>
      </c>
    </row>
    <row r="56" spans="1:3" ht="15.75" customHeight="1" x14ac:dyDescent="0.3">
      <c r="A56" s="3">
        <v>44378</v>
      </c>
      <c r="B56" s="4" t="s">
        <v>57</v>
      </c>
      <c r="C56" s="5">
        <v>86538</v>
      </c>
    </row>
    <row r="57" spans="1:3" ht="15.75" customHeight="1" x14ac:dyDescent="0.3">
      <c r="A57" s="3">
        <v>44470</v>
      </c>
      <c r="B57" s="4" t="s">
        <v>58</v>
      </c>
      <c r="C57" s="5">
        <v>85886.5</v>
      </c>
    </row>
    <row r="58" spans="1:3" ht="15.75" customHeight="1" x14ac:dyDescent="0.3">
      <c r="A58" s="3">
        <v>44562</v>
      </c>
      <c r="B58" s="4" t="s">
        <v>59</v>
      </c>
      <c r="C58" s="5">
        <v>86674.7</v>
      </c>
    </row>
    <row r="59" spans="1:3" ht="15.75" customHeight="1" x14ac:dyDescent="0.3">
      <c r="A59" s="3">
        <v>44652</v>
      </c>
      <c r="B59" s="4" t="s">
        <v>60</v>
      </c>
      <c r="C59" s="5">
        <v>86881.7</v>
      </c>
    </row>
    <row r="60" spans="1:3" ht="15.75" customHeight="1" x14ac:dyDescent="0.3">
      <c r="A60" s="3">
        <v>44743</v>
      </c>
      <c r="B60" s="4" t="s">
        <v>61</v>
      </c>
      <c r="C60" s="5">
        <v>87721.8</v>
      </c>
    </row>
    <row r="61" spans="1:3" ht="15.75" customHeight="1" x14ac:dyDescent="0.3">
      <c r="A61" s="3">
        <v>44835</v>
      </c>
      <c r="B61" s="4" t="s">
        <v>62</v>
      </c>
      <c r="C61" s="5">
        <v>88686.6</v>
      </c>
    </row>
    <row r="62" spans="1:3" ht="15.75" customHeight="1" x14ac:dyDescent="0.3">
      <c r="A62" s="3">
        <v>44927</v>
      </c>
      <c r="B62" s="4" t="s">
        <v>63</v>
      </c>
      <c r="C62" s="5">
        <v>88745.5</v>
      </c>
    </row>
    <row r="63" spans="1:3" ht="15.75" customHeight="1" x14ac:dyDescent="0.3">
      <c r="A63" s="3">
        <v>45017</v>
      </c>
      <c r="B63" s="4" t="s">
        <v>64</v>
      </c>
      <c r="C63" s="5">
        <v>89451.6</v>
      </c>
    </row>
    <row r="64" spans="1:3" ht="15.75" customHeight="1" x14ac:dyDescent="0.3">
      <c r="A64" s="3">
        <v>45108</v>
      </c>
      <c r="B64" s="4" t="s">
        <v>65</v>
      </c>
      <c r="C64" s="5">
        <v>89526.7</v>
      </c>
    </row>
    <row r="65" spans="1:3" ht="15.75" customHeight="1" x14ac:dyDescent="0.3">
      <c r="A65" s="3">
        <v>45200</v>
      </c>
      <c r="B65" s="4" t="s">
        <v>66</v>
      </c>
      <c r="C65" s="5">
        <v>90845</v>
      </c>
    </row>
    <row r="66" spans="1:3" ht="15.75" customHeight="1" x14ac:dyDescent="0.3">
      <c r="A66" s="3">
        <v>45292</v>
      </c>
      <c r="B66" s="4" t="s">
        <v>67</v>
      </c>
      <c r="C66" s="5">
        <v>90660</v>
      </c>
    </row>
    <row r="67" spans="1:3" ht="15.75" customHeight="1" x14ac:dyDescent="0.3">
      <c r="A67" s="3">
        <v>45383</v>
      </c>
      <c r="B67" s="4" t="s">
        <v>68</v>
      </c>
      <c r="C67" s="5">
        <v>91539</v>
      </c>
    </row>
    <row r="68" spans="1:3" ht="15.75" customHeight="1" x14ac:dyDescent="0.3">
      <c r="A68" s="3">
        <v>45474</v>
      </c>
      <c r="B68" s="4" t="s">
        <v>69</v>
      </c>
      <c r="C68" s="5">
        <v>92495.2</v>
      </c>
    </row>
    <row r="69" spans="1:3" ht="15.75" customHeight="1" x14ac:dyDescent="0.3">
      <c r="A69" s="3">
        <v>45566</v>
      </c>
      <c r="B69" s="4" t="s">
        <v>70</v>
      </c>
      <c r="C69" s="5">
        <v>92817.7</v>
      </c>
    </row>
    <row r="70" spans="1:3" ht="15.75" customHeight="1" x14ac:dyDescent="0.3">
      <c r="A70" s="3">
        <v>45658</v>
      </c>
      <c r="B70" s="4" t="s">
        <v>71</v>
      </c>
      <c r="C70" s="5">
        <v>93750.2</v>
      </c>
    </row>
    <row r="71" spans="1:3" ht="15.75" customHeight="1" x14ac:dyDescent="0.3">
      <c r="A71" s="3">
        <v>45748</v>
      </c>
      <c r="B71" s="4" t="s">
        <v>72</v>
      </c>
      <c r="C71" s="5">
        <v>93853.2</v>
      </c>
    </row>
    <row r="72" spans="1:3" ht="15.75" customHeight="1" x14ac:dyDescent="0.3"/>
    <row r="73" spans="1:3" ht="15.75" customHeight="1" x14ac:dyDescent="0.3"/>
    <row r="74" spans="1:3" ht="15.75" customHeight="1" x14ac:dyDescent="0.3"/>
    <row r="75" spans="1:3" ht="15.75" customHeight="1" x14ac:dyDescent="0.3"/>
    <row r="76" spans="1:3" ht="15.75" customHeight="1" x14ac:dyDescent="0.3"/>
    <row r="77" spans="1:3" ht="15.75" customHeight="1" x14ac:dyDescent="0.3"/>
    <row r="78" spans="1:3" ht="15.75" customHeight="1" x14ac:dyDescent="0.3"/>
    <row r="79" spans="1:3" ht="15.75" customHeight="1" x14ac:dyDescent="0.3"/>
    <row r="80" spans="1:3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36" workbookViewId="0">
      <selection activeCell="C2" sqref="C2:C71"/>
    </sheetView>
  </sheetViews>
  <sheetFormatPr defaultColWidth="14.44140625" defaultRowHeight="15" customHeight="1" x14ac:dyDescent="0.3"/>
  <cols>
    <col min="1" max="2" width="16.6640625" customWidth="1"/>
    <col min="3" max="3" width="13.44140625" customWidth="1"/>
    <col min="4" max="26" width="8.6640625" customWidth="1"/>
  </cols>
  <sheetData>
    <row r="1" spans="1:26" ht="14.55" x14ac:dyDescent="0.3">
      <c r="A1" s="2" t="s">
        <v>0</v>
      </c>
      <c r="B1" s="2" t="s">
        <v>1</v>
      </c>
      <c r="C1" s="2" t="s">
        <v>73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5" x14ac:dyDescent="0.3">
      <c r="A2" s="3">
        <v>39448</v>
      </c>
      <c r="B2" s="4" t="s">
        <v>3</v>
      </c>
      <c r="C2" s="6">
        <v>96.658674948240204</v>
      </c>
    </row>
    <row r="3" spans="1:26" ht="14.55" x14ac:dyDescent="0.3">
      <c r="A3" s="3">
        <v>39539</v>
      </c>
      <c r="B3" s="4" t="s">
        <v>4</v>
      </c>
      <c r="C3" s="6">
        <v>122.21864357864401</v>
      </c>
    </row>
    <row r="4" spans="1:26" ht="14.55" x14ac:dyDescent="0.3">
      <c r="A4" s="3">
        <v>39630</v>
      </c>
      <c r="B4" s="4" t="s">
        <v>5</v>
      </c>
      <c r="C4" s="6">
        <v>115.38038270907801</v>
      </c>
    </row>
    <row r="5" spans="1:26" ht="14.55" x14ac:dyDescent="0.3">
      <c r="A5" s="3">
        <v>39722</v>
      </c>
      <c r="B5" s="4" t="s">
        <v>6</v>
      </c>
      <c r="C5" s="6">
        <v>55.0629057971015</v>
      </c>
    </row>
    <row r="6" spans="1:26" ht="14.55" x14ac:dyDescent="0.3">
      <c r="A6" s="3">
        <v>39814</v>
      </c>
      <c r="B6" s="4" t="s">
        <v>7</v>
      </c>
      <c r="C6" s="6">
        <v>44.222590909090897</v>
      </c>
    </row>
    <row r="7" spans="1:26" ht="14.55" x14ac:dyDescent="0.3">
      <c r="A7" s="3">
        <v>39904</v>
      </c>
      <c r="B7" s="4" t="s">
        <v>8</v>
      </c>
      <c r="C7" s="6">
        <v>58.866839826839801</v>
      </c>
    </row>
    <row r="8" spans="1:26" ht="14.55" x14ac:dyDescent="0.3">
      <c r="A8" s="3">
        <v>39995</v>
      </c>
      <c r="B8" s="4" t="s">
        <v>9</v>
      </c>
      <c r="C8" s="6">
        <v>68.336478135391204</v>
      </c>
    </row>
    <row r="9" spans="1:26" ht="14.55" x14ac:dyDescent="0.3">
      <c r="A9" s="3">
        <v>40087</v>
      </c>
      <c r="B9" s="4" t="s">
        <v>10</v>
      </c>
      <c r="C9" s="6">
        <v>74.898289415898105</v>
      </c>
    </row>
    <row r="10" spans="1:26" ht="14.55" x14ac:dyDescent="0.3">
      <c r="A10" s="3">
        <v>40179</v>
      </c>
      <c r="B10" s="4" t="s">
        <v>11</v>
      </c>
      <c r="C10" s="6">
        <v>76.674837129054495</v>
      </c>
    </row>
    <row r="11" spans="1:26" ht="14.55" x14ac:dyDescent="0.3">
      <c r="A11" s="3">
        <v>40269</v>
      </c>
      <c r="B11" s="4" t="s">
        <v>12</v>
      </c>
      <c r="C11" s="6">
        <v>78.845036075036106</v>
      </c>
    </row>
    <row r="12" spans="1:26" ht="14.55" x14ac:dyDescent="0.3">
      <c r="A12" s="3">
        <v>40360</v>
      </c>
      <c r="B12" s="4" t="s">
        <v>13</v>
      </c>
      <c r="C12" s="6">
        <v>76.674999999999997</v>
      </c>
    </row>
    <row r="13" spans="1:26" ht="14.55" x14ac:dyDescent="0.3">
      <c r="A13" s="3">
        <v>40452</v>
      </c>
      <c r="B13" s="4" t="s">
        <v>14</v>
      </c>
      <c r="C13" s="6">
        <v>87.033160173160198</v>
      </c>
    </row>
    <row r="14" spans="1:26" ht="14.55" x14ac:dyDescent="0.3">
      <c r="A14" s="3">
        <v>40544</v>
      </c>
      <c r="B14" s="4" t="s">
        <v>15</v>
      </c>
      <c r="C14" s="6">
        <v>105.369424085576</v>
      </c>
    </row>
    <row r="15" spans="1:26" ht="14.55" x14ac:dyDescent="0.3">
      <c r="A15" s="3">
        <v>40634</v>
      </c>
      <c r="B15" s="4" t="s">
        <v>16</v>
      </c>
      <c r="C15" s="6">
        <v>117.541904761905</v>
      </c>
    </row>
    <row r="16" spans="1:26" ht="14.55" x14ac:dyDescent="0.3">
      <c r="A16" s="3">
        <v>40725</v>
      </c>
      <c r="B16" s="4" t="s">
        <v>17</v>
      </c>
      <c r="C16" s="6">
        <v>113.266947738252</v>
      </c>
    </row>
    <row r="17" spans="1:3" ht="14.55" x14ac:dyDescent="0.3">
      <c r="A17" s="3">
        <v>40817</v>
      </c>
      <c r="B17" s="4" t="s">
        <v>18</v>
      </c>
      <c r="C17" s="6">
        <v>109.978629148629</v>
      </c>
    </row>
    <row r="18" spans="1:3" ht="14.55" x14ac:dyDescent="0.3">
      <c r="A18" s="3">
        <v>40909</v>
      </c>
      <c r="B18" s="4" t="s">
        <v>19</v>
      </c>
      <c r="C18" s="6">
        <v>118.427965367965</v>
      </c>
    </row>
    <row r="19" spans="1:3" ht="14.55" x14ac:dyDescent="0.3">
      <c r="A19" s="3">
        <v>41000</v>
      </c>
      <c r="B19" s="4" t="s">
        <v>20</v>
      </c>
      <c r="C19" s="6">
        <v>109.060407177364</v>
      </c>
    </row>
    <row r="20" spans="1:3" ht="14.55" x14ac:dyDescent="0.3">
      <c r="A20" s="3">
        <v>41091</v>
      </c>
      <c r="B20" s="4" t="s">
        <v>21</v>
      </c>
      <c r="C20" s="6">
        <v>110.133826745718</v>
      </c>
    </row>
    <row r="21" spans="1:3" ht="15.75" customHeight="1" x14ac:dyDescent="0.3">
      <c r="A21" s="3">
        <v>41183</v>
      </c>
      <c r="B21" s="4" t="s">
        <v>22</v>
      </c>
      <c r="C21" s="6">
        <v>110.424491498839</v>
      </c>
    </row>
    <row r="22" spans="1:3" ht="15.75" customHeight="1" x14ac:dyDescent="0.3">
      <c r="A22" s="3">
        <v>41275</v>
      </c>
      <c r="B22" s="4" t="s">
        <v>23</v>
      </c>
      <c r="C22" s="6">
        <v>112.86718012422401</v>
      </c>
    </row>
    <row r="23" spans="1:3" ht="15.75" customHeight="1" x14ac:dyDescent="0.3">
      <c r="A23" s="3">
        <v>41365</v>
      </c>
      <c r="B23" s="4" t="s">
        <v>24</v>
      </c>
      <c r="C23" s="6">
        <v>103.099644927536</v>
      </c>
    </row>
    <row r="24" spans="1:3" ht="15.75" customHeight="1" x14ac:dyDescent="0.3">
      <c r="A24" s="3">
        <v>41456</v>
      </c>
      <c r="B24" s="4" t="s">
        <v>25</v>
      </c>
      <c r="C24" s="6">
        <v>110.26686805947701</v>
      </c>
    </row>
    <row r="25" spans="1:3" ht="15.75" customHeight="1" x14ac:dyDescent="0.3">
      <c r="A25" s="3">
        <v>41548</v>
      </c>
      <c r="B25" s="4" t="s">
        <v>26</v>
      </c>
      <c r="C25" s="6">
        <v>109.613208796035</v>
      </c>
    </row>
    <row r="26" spans="1:3" ht="15.75" customHeight="1" x14ac:dyDescent="0.3">
      <c r="A26" s="3">
        <v>41640</v>
      </c>
      <c r="B26" s="4" t="s">
        <v>27</v>
      </c>
      <c r="C26" s="6">
        <v>108.211017253278</v>
      </c>
    </row>
    <row r="27" spans="1:3" ht="15.75" customHeight="1" x14ac:dyDescent="0.3">
      <c r="A27" s="3">
        <v>41730</v>
      </c>
      <c r="B27" s="4" t="s">
        <v>28</v>
      </c>
      <c r="C27" s="6">
        <v>110.02562049062</v>
      </c>
    </row>
    <row r="28" spans="1:3" ht="15.75" customHeight="1" x14ac:dyDescent="0.3">
      <c r="A28" s="3">
        <v>41821</v>
      </c>
      <c r="B28" s="4" t="s">
        <v>29</v>
      </c>
      <c r="C28" s="6">
        <v>102.57241357676099</v>
      </c>
    </row>
    <row r="29" spans="1:3" ht="15.75" customHeight="1" x14ac:dyDescent="0.3">
      <c r="A29" s="3">
        <v>41913</v>
      </c>
      <c r="B29" s="4" t="s">
        <v>30</v>
      </c>
      <c r="C29" s="6">
        <v>76.572731884058001</v>
      </c>
    </row>
    <row r="30" spans="1:3" ht="15.75" customHeight="1" x14ac:dyDescent="0.3">
      <c r="A30" s="3">
        <v>42005</v>
      </c>
      <c r="B30" s="4" t="s">
        <v>31</v>
      </c>
      <c r="C30" s="6">
        <v>54.570575757575703</v>
      </c>
    </row>
    <row r="31" spans="1:3" ht="15.75" customHeight="1" x14ac:dyDescent="0.3">
      <c r="A31" s="3">
        <v>42095</v>
      </c>
      <c r="B31" s="4" t="s">
        <v>32</v>
      </c>
      <c r="C31" s="6">
        <v>62.546724386724399</v>
      </c>
    </row>
    <row r="32" spans="1:3" ht="15.75" customHeight="1" x14ac:dyDescent="0.3">
      <c r="A32" s="3">
        <v>42186</v>
      </c>
      <c r="B32" s="4" t="s">
        <v>33</v>
      </c>
      <c r="C32" s="6">
        <v>50.797943095551801</v>
      </c>
    </row>
    <row r="33" spans="1:3" ht="15.75" customHeight="1" x14ac:dyDescent="0.3">
      <c r="A33" s="3">
        <v>42278</v>
      </c>
      <c r="B33" s="4" t="s">
        <v>34</v>
      </c>
      <c r="C33" s="6">
        <v>44.175606374301999</v>
      </c>
    </row>
    <row r="34" spans="1:3" ht="15.75" customHeight="1" x14ac:dyDescent="0.3">
      <c r="A34" s="3">
        <v>42370</v>
      </c>
      <c r="B34" s="4" t="s">
        <v>35</v>
      </c>
      <c r="C34" s="6">
        <v>35.199930986887502</v>
      </c>
    </row>
    <row r="35" spans="1:3" ht="15.75" customHeight="1" x14ac:dyDescent="0.3">
      <c r="A35" s="3">
        <v>42461</v>
      </c>
      <c r="B35" s="4" t="s">
        <v>36</v>
      </c>
      <c r="C35" s="6">
        <v>46.980916305916303</v>
      </c>
    </row>
    <row r="36" spans="1:3" ht="15.75" customHeight="1" x14ac:dyDescent="0.3">
      <c r="A36" s="3">
        <v>42552</v>
      </c>
      <c r="B36" s="4" t="s">
        <v>37</v>
      </c>
      <c r="C36" s="6">
        <v>47.009187841144403</v>
      </c>
    </row>
    <row r="37" spans="1:3" ht="15.75" customHeight="1" x14ac:dyDescent="0.3">
      <c r="A37" s="3">
        <v>42644</v>
      </c>
      <c r="B37" s="4" t="s">
        <v>38</v>
      </c>
      <c r="C37" s="6">
        <v>51.126269841269803</v>
      </c>
    </row>
    <row r="38" spans="1:3" ht="15.75" customHeight="1" x14ac:dyDescent="0.3">
      <c r="A38" s="3">
        <v>42736</v>
      </c>
      <c r="B38" s="4" t="s">
        <v>39</v>
      </c>
      <c r="C38" s="6">
        <v>54.820708827404502</v>
      </c>
    </row>
    <row r="39" spans="1:3" ht="15.75" customHeight="1" x14ac:dyDescent="0.3">
      <c r="A39" s="3">
        <v>42826</v>
      </c>
      <c r="B39" s="4" t="s">
        <v>40</v>
      </c>
      <c r="C39" s="6">
        <v>51.001691699604699</v>
      </c>
    </row>
    <row r="40" spans="1:3" ht="15.75" customHeight="1" x14ac:dyDescent="0.3">
      <c r="A40" s="3">
        <v>42917</v>
      </c>
      <c r="B40" s="4" t="s">
        <v>41</v>
      </c>
      <c r="C40" s="6">
        <v>52.246259489303</v>
      </c>
    </row>
    <row r="41" spans="1:3" ht="15.75" customHeight="1" x14ac:dyDescent="0.3">
      <c r="A41" s="3">
        <v>43009</v>
      </c>
      <c r="B41" s="4" t="s">
        <v>42</v>
      </c>
      <c r="C41" s="6">
        <v>61.479004329004297</v>
      </c>
    </row>
    <row r="42" spans="1:3" ht="15.75" customHeight="1" x14ac:dyDescent="0.3">
      <c r="A42" s="3">
        <v>43101</v>
      </c>
      <c r="B42" s="4" t="s">
        <v>43</v>
      </c>
      <c r="C42" s="6">
        <v>67.159149538866899</v>
      </c>
    </row>
    <row r="43" spans="1:3" ht="15.75" customHeight="1" x14ac:dyDescent="0.3">
      <c r="A43" s="3">
        <v>43191</v>
      </c>
      <c r="B43" s="4" t="s">
        <v>44</v>
      </c>
      <c r="C43" s="6">
        <v>74.8900207039338</v>
      </c>
    </row>
    <row r="44" spans="1:3" ht="15.75" customHeight="1" x14ac:dyDescent="0.3">
      <c r="A44" s="3">
        <v>43282</v>
      </c>
      <c r="B44" s="4" t="s">
        <v>45</v>
      </c>
      <c r="C44" s="6">
        <v>76.081131752305694</v>
      </c>
    </row>
    <row r="45" spans="1:3" ht="15.75" customHeight="1" x14ac:dyDescent="0.3">
      <c r="A45" s="3">
        <v>43374</v>
      </c>
      <c r="B45" s="4" t="s">
        <v>46</v>
      </c>
      <c r="C45" s="6">
        <v>68.320069954200406</v>
      </c>
    </row>
    <row r="46" spans="1:3" ht="15.75" customHeight="1" x14ac:dyDescent="0.3">
      <c r="A46" s="3">
        <v>43466</v>
      </c>
      <c r="B46" s="4" t="s">
        <v>47</v>
      </c>
      <c r="C46" s="6">
        <v>63.756895790200097</v>
      </c>
    </row>
    <row r="47" spans="1:3" ht="15.75" customHeight="1" x14ac:dyDescent="0.3">
      <c r="A47" s="3">
        <v>43556</v>
      </c>
      <c r="B47" s="4" t="s">
        <v>48</v>
      </c>
      <c r="C47" s="6">
        <v>68.357846508563895</v>
      </c>
    </row>
    <row r="48" spans="1:3" ht="15.75" customHeight="1" x14ac:dyDescent="0.3">
      <c r="A48" s="3">
        <v>43647</v>
      </c>
      <c r="B48" s="4" t="s">
        <v>49</v>
      </c>
      <c r="C48" s="6">
        <v>62.123769370725903</v>
      </c>
    </row>
    <row r="49" spans="1:3" ht="15.75" customHeight="1" x14ac:dyDescent="0.3">
      <c r="A49" s="3">
        <v>43739</v>
      </c>
      <c r="B49" s="4" t="s">
        <v>50</v>
      </c>
      <c r="C49" s="6">
        <v>62.555384277558197</v>
      </c>
    </row>
    <row r="50" spans="1:3" ht="15.75" customHeight="1" x14ac:dyDescent="0.3">
      <c r="A50" s="3">
        <v>43831</v>
      </c>
      <c r="B50" s="4" t="s">
        <v>51</v>
      </c>
      <c r="C50" s="6">
        <v>51.178989459815497</v>
      </c>
    </row>
    <row r="51" spans="1:3" ht="15.75" customHeight="1" x14ac:dyDescent="0.3">
      <c r="A51" s="3">
        <v>43922</v>
      </c>
      <c r="B51" s="4" t="s">
        <v>52</v>
      </c>
      <c r="C51" s="6">
        <v>33.377157287157303</v>
      </c>
    </row>
    <row r="52" spans="1:3" ht="15.75" customHeight="1" x14ac:dyDescent="0.3">
      <c r="A52" s="3">
        <v>44013</v>
      </c>
      <c r="B52" s="4" t="s">
        <v>53</v>
      </c>
      <c r="C52" s="6">
        <v>43.4346329757199</v>
      </c>
    </row>
    <row r="53" spans="1:3" ht="15.75" customHeight="1" x14ac:dyDescent="0.3">
      <c r="A53" s="3">
        <v>44105</v>
      </c>
      <c r="B53" s="4" t="s">
        <v>54</v>
      </c>
      <c r="C53" s="6">
        <v>45.344591567852397</v>
      </c>
    </row>
    <row r="54" spans="1:3" ht="15.75" customHeight="1" x14ac:dyDescent="0.3">
      <c r="A54" s="3">
        <v>44197</v>
      </c>
      <c r="B54" s="4" t="s">
        <v>55</v>
      </c>
      <c r="C54" s="6">
        <v>61.127782953761198</v>
      </c>
    </row>
    <row r="55" spans="1:3" ht="15.75" customHeight="1" x14ac:dyDescent="0.3">
      <c r="A55" s="3">
        <v>44287</v>
      </c>
      <c r="B55" s="4" t="s">
        <v>56</v>
      </c>
      <c r="C55" s="6">
        <v>69.139927849927901</v>
      </c>
    </row>
    <row r="56" spans="1:3" ht="15.75" customHeight="1" x14ac:dyDescent="0.3">
      <c r="A56" s="3">
        <v>44378</v>
      </c>
      <c r="B56" s="4" t="s">
        <v>57</v>
      </c>
      <c r="C56" s="6">
        <v>73.2469696969697</v>
      </c>
    </row>
    <row r="57" spans="1:3" ht="15.75" customHeight="1" x14ac:dyDescent="0.3">
      <c r="A57" s="3">
        <v>44470</v>
      </c>
      <c r="B57" s="4" t="s">
        <v>58</v>
      </c>
      <c r="C57" s="6">
        <v>79.811317836752593</v>
      </c>
    </row>
    <row r="58" spans="1:3" ht="15.75" customHeight="1" x14ac:dyDescent="0.3">
      <c r="A58" s="3">
        <v>44562</v>
      </c>
      <c r="B58" s="4" t="s">
        <v>59</v>
      </c>
      <c r="C58" s="6">
        <v>97.443126984127005</v>
      </c>
    </row>
    <row r="59" spans="1:3" ht="15.75" customHeight="1" x14ac:dyDescent="0.3">
      <c r="A59" s="3">
        <v>44652</v>
      </c>
      <c r="B59" s="4" t="s">
        <v>60</v>
      </c>
      <c r="C59" s="6">
        <v>111.987359307359</v>
      </c>
    </row>
    <row r="60" spans="1:3" ht="15.75" customHeight="1" x14ac:dyDescent="0.3">
      <c r="A60" s="3">
        <v>44743</v>
      </c>
      <c r="B60" s="4" t="s">
        <v>61</v>
      </c>
      <c r="C60" s="6">
        <v>97.834694146433307</v>
      </c>
    </row>
    <row r="61" spans="1:3" ht="15.75" customHeight="1" x14ac:dyDescent="0.3">
      <c r="A61" s="3">
        <v>44835</v>
      </c>
      <c r="B61" s="4" t="s">
        <v>62</v>
      </c>
      <c r="C61" s="6">
        <v>88.720129870129895</v>
      </c>
    </row>
    <row r="62" spans="1:3" ht="15.75" customHeight="1" x14ac:dyDescent="0.3">
      <c r="A62" s="3">
        <v>44927</v>
      </c>
      <c r="B62" s="4" t="s">
        <v>63</v>
      </c>
      <c r="C62" s="6">
        <v>82.323613306982907</v>
      </c>
    </row>
    <row r="63" spans="1:3" ht="15.75" customHeight="1" x14ac:dyDescent="0.3">
      <c r="A63" s="3">
        <v>45017</v>
      </c>
      <c r="B63" s="4" t="s">
        <v>64</v>
      </c>
      <c r="C63" s="6">
        <v>78.086130434782604</v>
      </c>
    </row>
    <row r="64" spans="1:3" ht="15.75" customHeight="1" x14ac:dyDescent="0.3">
      <c r="A64" s="3">
        <v>45108</v>
      </c>
      <c r="B64" s="4" t="s">
        <v>65</v>
      </c>
      <c r="C64" s="6">
        <v>85.983547273982097</v>
      </c>
    </row>
    <row r="65" spans="1:3" ht="15.75" customHeight="1" x14ac:dyDescent="0.3">
      <c r="A65" s="3">
        <v>45200</v>
      </c>
      <c r="B65" s="4" t="s">
        <v>66</v>
      </c>
      <c r="C65" s="6">
        <v>82.891681096681097</v>
      </c>
    </row>
    <row r="66" spans="1:3" ht="15.75" customHeight="1" x14ac:dyDescent="0.3">
      <c r="A66" s="3">
        <v>45292</v>
      </c>
      <c r="B66" s="4" t="s">
        <v>67</v>
      </c>
      <c r="C66" s="6">
        <v>81.955714285714294</v>
      </c>
    </row>
    <row r="67" spans="1:3" ht="15.75" customHeight="1" x14ac:dyDescent="0.3">
      <c r="A67" s="3">
        <v>45383</v>
      </c>
      <c r="B67" s="4" t="s">
        <v>68</v>
      </c>
      <c r="C67" s="6">
        <v>84.9819861660079</v>
      </c>
    </row>
    <row r="68" spans="1:3" ht="15.75" customHeight="1" x14ac:dyDescent="0.3">
      <c r="A68" s="3">
        <v>45474</v>
      </c>
      <c r="B68" s="4" t="s">
        <v>69</v>
      </c>
      <c r="C68" s="6">
        <v>78.708317021143102</v>
      </c>
    </row>
    <row r="69" spans="1:3" ht="15.75" customHeight="1" x14ac:dyDescent="0.3">
      <c r="A69" s="3">
        <v>45566</v>
      </c>
      <c r="B69" s="4" t="s">
        <v>70</v>
      </c>
      <c r="C69" s="6">
        <v>74.000940146809697</v>
      </c>
    </row>
    <row r="70" spans="1:3" ht="15.75" customHeight="1" x14ac:dyDescent="0.3">
      <c r="A70" s="3">
        <v>45658</v>
      </c>
      <c r="B70" s="4" t="s">
        <v>71</v>
      </c>
      <c r="C70" s="6">
        <v>75.042780538302296</v>
      </c>
    </row>
    <row r="71" spans="1:3" ht="15.75" customHeight="1" x14ac:dyDescent="0.3">
      <c r="A71" s="3">
        <v>45748</v>
      </c>
      <c r="B71" s="4" t="s">
        <v>72</v>
      </c>
      <c r="C71" s="6">
        <v>66.955555555555605</v>
      </c>
    </row>
    <row r="72" spans="1:3" ht="15.75" customHeight="1" x14ac:dyDescent="0.3"/>
    <row r="73" spans="1:3" ht="15.75" customHeight="1" x14ac:dyDescent="0.3"/>
    <row r="74" spans="1:3" ht="15.75" customHeight="1" x14ac:dyDescent="0.3"/>
    <row r="75" spans="1:3" ht="15.75" customHeight="1" x14ac:dyDescent="0.3"/>
    <row r="76" spans="1:3" ht="15.75" customHeight="1" x14ac:dyDescent="0.3"/>
    <row r="77" spans="1:3" ht="15.75" customHeight="1" x14ac:dyDescent="0.3"/>
    <row r="78" spans="1:3" ht="15.75" customHeight="1" x14ac:dyDescent="0.3"/>
    <row r="79" spans="1:3" ht="15.75" customHeight="1" x14ac:dyDescent="0.3"/>
    <row r="80" spans="1:3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39" workbookViewId="0">
      <selection activeCell="C54" sqref="C54"/>
    </sheetView>
  </sheetViews>
  <sheetFormatPr defaultColWidth="14.44140625" defaultRowHeight="15" customHeight="1" x14ac:dyDescent="0.3"/>
  <cols>
    <col min="1" max="1" width="9.6640625" customWidth="1"/>
    <col min="2" max="2" width="11.88671875" customWidth="1"/>
    <col min="3" max="3" width="8.6640625" customWidth="1"/>
    <col min="4" max="4" width="13.5546875" customWidth="1"/>
    <col min="5" max="5" width="13.44140625" customWidth="1"/>
    <col min="6" max="26" width="8.6640625" customWidth="1"/>
  </cols>
  <sheetData>
    <row r="1" spans="1:26" ht="14.55" x14ac:dyDescent="0.3">
      <c r="A1" s="2" t="s">
        <v>74</v>
      </c>
      <c r="B1" s="2" t="s">
        <v>1</v>
      </c>
      <c r="C1" s="2" t="s">
        <v>75</v>
      </c>
      <c r="D1" s="2" t="s">
        <v>76</v>
      </c>
      <c r="E1" s="2" t="s">
        <v>77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5" x14ac:dyDescent="0.3">
      <c r="A2" s="3">
        <v>39448</v>
      </c>
      <c r="B2" s="4" t="s">
        <v>3</v>
      </c>
      <c r="C2" s="6">
        <v>4545.8999999999996</v>
      </c>
      <c r="D2" s="6">
        <v>-6.5</v>
      </c>
      <c r="E2" s="6">
        <v>-6.5</v>
      </c>
    </row>
    <row r="3" spans="1:26" ht="14.55" x14ac:dyDescent="0.3">
      <c r="A3" s="3">
        <v>39539</v>
      </c>
      <c r="B3" s="4" t="s">
        <v>4</v>
      </c>
      <c r="C3" s="6">
        <v>4327.2</v>
      </c>
      <c r="D3" s="6">
        <v>-12.1</v>
      </c>
      <c r="E3" s="6">
        <v>-9.3000000000000007</v>
      </c>
    </row>
    <row r="4" spans="1:26" ht="14.55" x14ac:dyDescent="0.3">
      <c r="A4" s="3">
        <v>39630</v>
      </c>
      <c r="B4" s="4" t="s">
        <v>5</v>
      </c>
      <c r="C4" s="6">
        <v>3939.9</v>
      </c>
      <c r="D4" s="6">
        <v>-19.399999999999999</v>
      </c>
      <c r="E4" s="6">
        <v>-12.7</v>
      </c>
    </row>
    <row r="5" spans="1:26" ht="14.55" x14ac:dyDescent="0.3">
      <c r="A5" s="3">
        <v>39722</v>
      </c>
      <c r="B5" s="4" t="s">
        <v>6</v>
      </c>
      <c r="C5" s="6">
        <v>3834.8</v>
      </c>
      <c r="D5" s="6">
        <v>-18.5</v>
      </c>
      <c r="E5" s="6">
        <v>-14.1</v>
      </c>
    </row>
    <row r="6" spans="1:26" ht="14.55" x14ac:dyDescent="0.3">
      <c r="A6" s="3">
        <v>39814</v>
      </c>
      <c r="B6" s="4" t="s">
        <v>7</v>
      </c>
      <c r="C6" s="6">
        <v>3742.7</v>
      </c>
      <c r="D6" s="6">
        <v>-17.7</v>
      </c>
      <c r="E6" s="6">
        <v>-17.7</v>
      </c>
    </row>
    <row r="7" spans="1:26" ht="14.55" x14ac:dyDescent="0.3">
      <c r="A7" s="3">
        <v>39904</v>
      </c>
      <c r="B7" s="4" t="s">
        <v>8</v>
      </c>
      <c r="C7" s="6">
        <v>3638.5</v>
      </c>
      <c r="D7" s="6">
        <v>-15.9</v>
      </c>
      <c r="E7" s="6">
        <v>-16.8</v>
      </c>
    </row>
    <row r="8" spans="1:26" ht="14.55" x14ac:dyDescent="0.3">
      <c r="A8" s="3">
        <v>39995</v>
      </c>
      <c r="B8" s="4" t="s">
        <v>9</v>
      </c>
      <c r="C8" s="6">
        <v>3528.2</v>
      </c>
      <c r="D8" s="6">
        <v>-10.4</v>
      </c>
      <c r="E8" s="6">
        <v>-14.9</v>
      </c>
    </row>
    <row r="9" spans="1:26" ht="14.55" x14ac:dyDescent="0.3">
      <c r="A9" s="3">
        <v>40087</v>
      </c>
      <c r="B9" s="4" t="s">
        <v>10</v>
      </c>
      <c r="C9" s="6">
        <v>3596.7</v>
      </c>
      <c r="D9" s="6">
        <v>-6.2</v>
      </c>
      <c r="E9" s="6">
        <v>-12.9</v>
      </c>
    </row>
    <row r="10" spans="1:26" ht="14.55" x14ac:dyDescent="0.3">
      <c r="A10" s="3">
        <v>40179</v>
      </c>
      <c r="B10" s="4" t="s">
        <v>11</v>
      </c>
      <c r="C10" s="6">
        <v>3635.5</v>
      </c>
      <c r="D10" s="6">
        <v>-2.9</v>
      </c>
      <c r="E10" s="6">
        <v>-2.9</v>
      </c>
    </row>
    <row r="11" spans="1:26" ht="14.55" x14ac:dyDescent="0.3">
      <c r="A11" s="3">
        <v>40269</v>
      </c>
      <c r="B11" s="4" t="s">
        <v>12</v>
      </c>
      <c r="C11" s="6">
        <v>3842.3</v>
      </c>
      <c r="D11" s="6">
        <v>5.6</v>
      </c>
      <c r="E11" s="6">
        <v>1.3</v>
      </c>
    </row>
    <row r="12" spans="1:26" ht="14.55" x14ac:dyDescent="0.3">
      <c r="A12" s="3">
        <v>40360</v>
      </c>
      <c r="B12" s="4" t="s">
        <v>13</v>
      </c>
      <c r="C12" s="6">
        <v>4221</v>
      </c>
      <c r="D12" s="6">
        <v>19.600000000000001</v>
      </c>
      <c r="E12" s="6">
        <v>7.2</v>
      </c>
    </row>
    <row r="13" spans="1:26" ht="14.55" x14ac:dyDescent="0.3">
      <c r="A13" s="3">
        <v>40452</v>
      </c>
      <c r="B13" s="4" t="s">
        <v>14</v>
      </c>
      <c r="C13" s="6">
        <v>4194.3999999999996</v>
      </c>
      <c r="D13" s="6">
        <v>16.600000000000001</v>
      </c>
      <c r="E13" s="6">
        <v>9.6</v>
      </c>
    </row>
    <row r="14" spans="1:26" ht="14.55" x14ac:dyDescent="0.3">
      <c r="A14" s="3">
        <v>40544</v>
      </c>
      <c r="B14" s="4" t="s">
        <v>15</v>
      </c>
      <c r="C14" s="6">
        <v>4215.8</v>
      </c>
      <c r="D14" s="6">
        <v>16</v>
      </c>
      <c r="E14" s="6">
        <v>16</v>
      </c>
    </row>
    <row r="15" spans="1:26" ht="14.55" x14ac:dyDescent="0.3">
      <c r="A15" s="3">
        <v>40634</v>
      </c>
      <c r="B15" s="4" t="s">
        <v>16</v>
      </c>
      <c r="C15" s="6">
        <v>4062.9</v>
      </c>
      <c r="D15" s="6">
        <v>5.7</v>
      </c>
      <c r="E15" s="6">
        <v>10.7</v>
      </c>
    </row>
    <row r="16" spans="1:26" ht="14.55" x14ac:dyDescent="0.3">
      <c r="A16" s="3">
        <v>40725</v>
      </c>
      <c r="B16" s="4" t="s">
        <v>17</v>
      </c>
      <c r="C16" s="6">
        <v>4205.3999999999996</v>
      </c>
      <c r="D16" s="6">
        <v>-0.4</v>
      </c>
      <c r="E16" s="6">
        <v>6.7</v>
      </c>
    </row>
    <row r="17" spans="1:5" ht="14.55" x14ac:dyDescent="0.3">
      <c r="A17" s="3">
        <v>40817</v>
      </c>
      <c r="B17" s="4" t="s">
        <v>18</v>
      </c>
      <c r="C17" s="6">
        <v>4335.3</v>
      </c>
      <c r="D17" s="6">
        <v>3.4</v>
      </c>
      <c r="E17" s="6">
        <v>5.8</v>
      </c>
    </row>
    <row r="18" spans="1:5" ht="14.55" x14ac:dyDescent="0.3">
      <c r="A18" s="3">
        <v>40909</v>
      </c>
      <c r="B18" s="4" t="s">
        <v>19</v>
      </c>
      <c r="C18" s="6">
        <v>4697.6000000000004</v>
      </c>
      <c r="D18" s="6">
        <v>11.4</v>
      </c>
      <c r="E18" s="6">
        <v>11.4</v>
      </c>
    </row>
    <row r="19" spans="1:5" ht="14.55" x14ac:dyDescent="0.3">
      <c r="A19" s="3">
        <v>41000</v>
      </c>
      <c r="B19" s="4" t="s">
        <v>20</v>
      </c>
      <c r="C19" s="6">
        <v>4780.6000000000004</v>
      </c>
      <c r="D19" s="6">
        <v>17.7</v>
      </c>
      <c r="E19" s="6">
        <v>14.5</v>
      </c>
    </row>
    <row r="20" spans="1:5" ht="14.55" x14ac:dyDescent="0.3">
      <c r="A20" s="3">
        <v>41091</v>
      </c>
      <c r="B20" s="4" t="s">
        <v>21</v>
      </c>
      <c r="C20" s="6">
        <v>4905.7</v>
      </c>
      <c r="D20" s="6">
        <v>16.7</v>
      </c>
      <c r="E20" s="6">
        <v>15.2</v>
      </c>
    </row>
    <row r="21" spans="1:5" ht="15.75" customHeight="1" x14ac:dyDescent="0.3">
      <c r="A21" s="3">
        <v>41183</v>
      </c>
      <c r="B21" s="4" t="s">
        <v>22</v>
      </c>
      <c r="C21" s="6">
        <v>4972.3</v>
      </c>
      <c r="D21" s="6">
        <v>14.7</v>
      </c>
      <c r="E21" s="6">
        <v>15.1</v>
      </c>
    </row>
    <row r="22" spans="1:5" ht="15.75" customHeight="1" x14ac:dyDescent="0.3">
      <c r="A22" s="3">
        <v>41275</v>
      </c>
      <c r="B22" s="4" t="s">
        <v>23</v>
      </c>
      <c r="C22" s="6">
        <v>4837.5</v>
      </c>
      <c r="D22" s="6">
        <v>3</v>
      </c>
      <c r="E22" s="6">
        <v>3</v>
      </c>
    </row>
    <row r="23" spans="1:5" ht="15.75" customHeight="1" x14ac:dyDescent="0.3">
      <c r="A23" s="3">
        <v>41365</v>
      </c>
      <c r="B23" s="4" t="s">
        <v>24</v>
      </c>
      <c r="C23" s="6">
        <v>4822.8</v>
      </c>
      <c r="D23" s="6">
        <v>0.9</v>
      </c>
      <c r="E23" s="6">
        <v>1.9</v>
      </c>
    </row>
    <row r="24" spans="1:5" ht="15.75" customHeight="1" x14ac:dyDescent="0.3">
      <c r="A24" s="3">
        <v>41456</v>
      </c>
      <c r="B24" s="4" t="s">
        <v>25</v>
      </c>
      <c r="C24" s="6">
        <v>4815</v>
      </c>
      <c r="D24" s="6">
        <v>-1.8</v>
      </c>
      <c r="E24" s="6">
        <v>0.6</v>
      </c>
    </row>
    <row r="25" spans="1:5" ht="15.75" customHeight="1" x14ac:dyDescent="0.3">
      <c r="A25" s="3">
        <v>41548</v>
      </c>
      <c r="B25" s="4" t="s">
        <v>26</v>
      </c>
      <c r="C25" s="6">
        <v>4742.5</v>
      </c>
      <c r="D25" s="6">
        <v>-4.5999999999999996</v>
      </c>
      <c r="E25" s="6">
        <v>-0.7</v>
      </c>
    </row>
    <row r="26" spans="1:5" ht="15.75" customHeight="1" x14ac:dyDescent="0.3">
      <c r="A26" s="3">
        <v>41640</v>
      </c>
      <c r="B26" s="4" t="s">
        <v>27</v>
      </c>
      <c r="C26" s="6">
        <v>4917.6000000000004</v>
      </c>
      <c r="D26" s="6">
        <v>1.7</v>
      </c>
      <c r="E26" s="6">
        <v>1.7</v>
      </c>
    </row>
    <row r="27" spans="1:5" ht="15.75" customHeight="1" x14ac:dyDescent="0.3">
      <c r="A27" s="3">
        <v>41730</v>
      </c>
      <c r="B27" s="4" t="s">
        <v>28</v>
      </c>
      <c r="C27" s="6">
        <v>4805.3999999999996</v>
      </c>
      <c r="D27" s="6">
        <v>-0.4</v>
      </c>
      <c r="E27" s="6">
        <v>0.6</v>
      </c>
    </row>
    <row r="28" spans="1:5" ht="15.75" customHeight="1" x14ac:dyDescent="0.3">
      <c r="A28" s="3">
        <v>41821</v>
      </c>
      <c r="B28" s="4" t="s">
        <v>29</v>
      </c>
      <c r="C28" s="6">
        <v>4836.7</v>
      </c>
      <c r="D28" s="6">
        <v>0.5</v>
      </c>
      <c r="E28" s="6">
        <v>0.6</v>
      </c>
    </row>
    <row r="29" spans="1:5" ht="15.75" customHeight="1" x14ac:dyDescent="0.3">
      <c r="A29" s="3">
        <v>41913</v>
      </c>
      <c r="B29" s="4" t="s">
        <v>30</v>
      </c>
      <c r="C29" s="6">
        <v>4900</v>
      </c>
      <c r="D29" s="6">
        <v>3.3</v>
      </c>
      <c r="E29" s="6">
        <v>1.3</v>
      </c>
    </row>
    <row r="30" spans="1:5" ht="15.75" customHeight="1" x14ac:dyDescent="0.3">
      <c r="A30" s="3">
        <v>42005</v>
      </c>
      <c r="B30" s="4" t="s">
        <v>31</v>
      </c>
      <c r="C30" s="6">
        <v>4851.3999999999996</v>
      </c>
      <c r="D30" s="6">
        <v>-1.3</v>
      </c>
      <c r="E30" s="6">
        <v>-1.3</v>
      </c>
    </row>
    <row r="31" spans="1:5" ht="15.75" customHeight="1" x14ac:dyDescent="0.3">
      <c r="A31" s="3">
        <v>42095</v>
      </c>
      <c r="B31" s="4" t="s">
        <v>32</v>
      </c>
      <c r="C31" s="6">
        <v>4891.3</v>
      </c>
      <c r="D31" s="6">
        <v>1.8</v>
      </c>
      <c r="E31" s="6">
        <v>0.2</v>
      </c>
    </row>
    <row r="32" spans="1:5" ht="15.75" customHeight="1" x14ac:dyDescent="0.3">
      <c r="A32" s="3">
        <v>42186</v>
      </c>
      <c r="B32" s="4" t="s">
        <v>33</v>
      </c>
      <c r="C32" s="6">
        <v>4852.3</v>
      </c>
      <c r="D32" s="6">
        <v>0.3</v>
      </c>
      <c r="E32" s="6">
        <v>0.2</v>
      </c>
    </row>
    <row r="33" spans="1:5" ht="15.75" customHeight="1" x14ac:dyDescent="0.3">
      <c r="A33" s="3">
        <v>42278</v>
      </c>
      <c r="B33" s="4" t="s">
        <v>34</v>
      </c>
      <c r="C33" s="6">
        <v>4907</v>
      </c>
      <c r="D33" s="6">
        <v>0.1</v>
      </c>
      <c r="E33" s="6">
        <v>0.2</v>
      </c>
    </row>
    <row r="34" spans="1:5" ht="15.75" customHeight="1" x14ac:dyDescent="0.3">
      <c r="A34" s="3">
        <v>42370</v>
      </c>
      <c r="B34" s="4" t="s">
        <v>35</v>
      </c>
      <c r="C34" s="6">
        <v>4975.3</v>
      </c>
      <c r="D34" s="6">
        <v>2.6</v>
      </c>
      <c r="E34" s="6">
        <v>2.6</v>
      </c>
    </row>
    <row r="35" spans="1:5" ht="15.75" customHeight="1" x14ac:dyDescent="0.3">
      <c r="A35" s="3">
        <v>42461</v>
      </c>
      <c r="B35" s="4" t="s">
        <v>36</v>
      </c>
      <c r="C35" s="6">
        <v>5049.8999999999996</v>
      </c>
      <c r="D35" s="6">
        <v>3.2</v>
      </c>
      <c r="E35" s="6">
        <v>2.9</v>
      </c>
    </row>
    <row r="36" spans="1:5" ht="15.75" customHeight="1" x14ac:dyDescent="0.3">
      <c r="A36" s="3">
        <v>42552</v>
      </c>
      <c r="B36" s="4" t="s">
        <v>37</v>
      </c>
      <c r="C36" s="6">
        <v>5099.2</v>
      </c>
      <c r="D36" s="6">
        <v>5.0999999999999996</v>
      </c>
      <c r="E36" s="6">
        <v>3.6</v>
      </c>
    </row>
    <row r="37" spans="1:5" ht="15.75" customHeight="1" x14ac:dyDescent="0.3">
      <c r="A37" s="3">
        <v>42644</v>
      </c>
      <c r="B37" s="4" t="s">
        <v>38</v>
      </c>
      <c r="C37" s="6">
        <v>5196.5</v>
      </c>
      <c r="D37" s="6">
        <v>5.9</v>
      </c>
      <c r="E37" s="6">
        <v>4.2</v>
      </c>
    </row>
    <row r="38" spans="1:5" ht="15.75" customHeight="1" x14ac:dyDescent="0.3">
      <c r="A38" s="3">
        <v>42736</v>
      </c>
      <c r="B38" s="4" t="s">
        <v>39</v>
      </c>
      <c r="C38" s="6">
        <v>5193</v>
      </c>
      <c r="D38" s="6">
        <v>4.4000000000000004</v>
      </c>
      <c r="E38" s="6">
        <v>4.4000000000000004</v>
      </c>
    </row>
    <row r="39" spans="1:5" ht="15.75" customHeight="1" x14ac:dyDescent="0.3">
      <c r="A39" s="3">
        <v>42826</v>
      </c>
      <c r="B39" s="4" t="s">
        <v>40</v>
      </c>
      <c r="C39" s="6">
        <v>5115.8999999999996</v>
      </c>
      <c r="D39" s="6">
        <v>1.3</v>
      </c>
      <c r="E39" s="6">
        <v>2.8</v>
      </c>
    </row>
    <row r="40" spans="1:5" ht="15.75" customHeight="1" x14ac:dyDescent="0.3">
      <c r="A40" s="3">
        <v>42917</v>
      </c>
      <c r="B40" s="4" t="s">
        <v>41</v>
      </c>
      <c r="C40" s="6">
        <v>5186.3999999999996</v>
      </c>
      <c r="D40" s="6">
        <v>1.7</v>
      </c>
      <c r="E40" s="6">
        <v>2.5</v>
      </c>
    </row>
    <row r="41" spans="1:5" ht="15.75" customHeight="1" x14ac:dyDescent="0.3">
      <c r="A41" s="3">
        <v>43009</v>
      </c>
      <c r="B41" s="4" t="s">
        <v>42</v>
      </c>
      <c r="C41" s="6">
        <v>5302.3</v>
      </c>
      <c r="D41" s="6">
        <v>2</v>
      </c>
      <c r="E41" s="6">
        <v>2.2999999999999998</v>
      </c>
    </row>
    <row r="42" spans="1:5" ht="15.75" customHeight="1" x14ac:dyDescent="0.3">
      <c r="A42" s="3">
        <v>43101</v>
      </c>
      <c r="B42" s="4" t="s">
        <v>43</v>
      </c>
      <c r="C42" s="6">
        <v>5442.9</v>
      </c>
      <c r="D42" s="6">
        <v>4.8</v>
      </c>
      <c r="E42" s="6">
        <v>4.8</v>
      </c>
    </row>
    <row r="43" spans="1:5" ht="15.75" customHeight="1" x14ac:dyDescent="0.3">
      <c r="A43" s="3">
        <v>43191</v>
      </c>
      <c r="B43" s="4" t="s">
        <v>44</v>
      </c>
      <c r="C43" s="6">
        <v>5506</v>
      </c>
      <c r="D43" s="6">
        <v>7.6</v>
      </c>
      <c r="E43" s="6">
        <v>6.2</v>
      </c>
    </row>
    <row r="44" spans="1:5" ht="15.75" customHeight="1" x14ac:dyDescent="0.3">
      <c r="A44" s="3">
        <v>43282</v>
      </c>
      <c r="B44" s="4" t="s">
        <v>45</v>
      </c>
      <c r="C44" s="6">
        <v>5351.9</v>
      </c>
      <c r="D44" s="6">
        <v>3.2</v>
      </c>
      <c r="E44" s="6">
        <v>5.2</v>
      </c>
    </row>
    <row r="45" spans="1:5" ht="15.75" customHeight="1" x14ac:dyDescent="0.3">
      <c r="A45" s="3">
        <v>43374</v>
      </c>
      <c r="B45" s="4" t="s">
        <v>46</v>
      </c>
      <c r="C45" s="6">
        <v>5240.5</v>
      </c>
      <c r="D45" s="6">
        <v>-1.2</v>
      </c>
      <c r="E45" s="6">
        <v>3.6</v>
      </c>
    </row>
    <row r="46" spans="1:5" ht="15.75" customHeight="1" x14ac:dyDescent="0.3">
      <c r="A46" s="3">
        <v>43466</v>
      </c>
      <c r="B46" s="4" t="s">
        <v>47</v>
      </c>
      <c r="C46" s="6">
        <v>5239.1000000000004</v>
      </c>
      <c r="D46" s="6">
        <v>-3.7</v>
      </c>
      <c r="E46" s="6">
        <v>-3.7</v>
      </c>
    </row>
    <row r="47" spans="1:5" ht="15.75" customHeight="1" x14ac:dyDescent="0.3">
      <c r="A47" s="3">
        <v>43556</v>
      </c>
      <c r="B47" s="4" t="s">
        <v>48</v>
      </c>
      <c r="C47" s="6">
        <v>5336.2</v>
      </c>
      <c r="D47" s="6">
        <v>-3.1</v>
      </c>
      <c r="E47" s="6">
        <v>-3.4</v>
      </c>
    </row>
    <row r="48" spans="1:5" ht="15.75" customHeight="1" x14ac:dyDescent="0.3">
      <c r="A48" s="3">
        <v>43647</v>
      </c>
      <c r="B48" s="4" t="s">
        <v>49</v>
      </c>
      <c r="C48" s="6">
        <v>5383.7</v>
      </c>
      <c r="D48" s="6">
        <v>0.6</v>
      </c>
      <c r="E48" s="6">
        <v>-2.1</v>
      </c>
    </row>
    <row r="49" spans="1:5" ht="15.75" customHeight="1" x14ac:dyDescent="0.3">
      <c r="A49" s="3">
        <v>43739</v>
      </c>
      <c r="B49" s="4" t="s">
        <v>50</v>
      </c>
      <c r="C49" s="6">
        <v>5382.7</v>
      </c>
      <c r="D49" s="6">
        <v>2.7</v>
      </c>
      <c r="E49" s="6">
        <v>-0.9</v>
      </c>
    </row>
    <row r="50" spans="1:5" ht="15.75" customHeight="1" x14ac:dyDescent="0.3">
      <c r="A50" s="3">
        <v>43831</v>
      </c>
      <c r="B50" s="4" t="s">
        <v>51</v>
      </c>
      <c r="C50" s="6">
        <v>4511.6000000000004</v>
      </c>
      <c r="D50" s="6">
        <v>-13.9</v>
      </c>
      <c r="E50" s="6">
        <v>-13.9</v>
      </c>
    </row>
    <row r="51" spans="1:5" ht="15.75" customHeight="1" x14ac:dyDescent="0.3">
      <c r="A51" s="3">
        <v>43922</v>
      </c>
      <c r="B51" s="4" t="s">
        <v>52</v>
      </c>
      <c r="C51" s="18">
        <v>0.01</v>
      </c>
    </row>
    <row r="52" spans="1:5" ht="15.75" customHeight="1" x14ac:dyDescent="0.3">
      <c r="A52" s="3">
        <v>44013</v>
      </c>
      <c r="B52" s="4" t="s">
        <v>53</v>
      </c>
      <c r="C52" s="18">
        <v>0.01</v>
      </c>
    </row>
    <row r="53" spans="1:5" ht="15.75" customHeight="1" x14ac:dyDescent="0.3">
      <c r="A53" s="3">
        <v>44105</v>
      </c>
      <c r="B53" s="4" t="s">
        <v>54</v>
      </c>
      <c r="C53" s="18">
        <v>0.01</v>
      </c>
    </row>
    <row r="54" spans="1:5" ht="15.75" customHeight="1" x14ac:dyDescent="0.3">
      <c r="A54" s="3">
        <v>44197</v>
      </c>
      <c r="B54" s="4" t="s">
        <v>55</v>
      </c>
      <c r="C54" s="6">
        <v>1821.2</v>
      </c>
      <c r="D54" s="6">
        <v>-59.6</v>
      </c>
      <c r="E54" s="6">
        <v>-59.6</v>
      </c>
    </row>
    <row r="55" spans="1:5" ht="15.75" customHeight="1" x14ac:dyDescent="0.3">
      <c r="A55" s="3">
        <v>44287</v>
      </c>
      <c r="B55" s="4" t="s">
        <v>56</v>
      </c>
      <c r="C55" s="6">
        <v>3996.7</v>
      </c>
    </row>
    <row r="56" spans="1:5" ht="15.75" customHeight="1" x14ac:dyDescent="0.3">
      <c r="A56" s="3">
        <v>44378</v>
      </c>
      <c r="B56" s="4" t="s">
        <v>57</v>
      </c>
      <c r="C56" s="6">
        <v>4510.3999999999996</v>
      </c>
    </row>
    <row r="57" spans="1:5" ht="15.75" customHeight="1" x14ac:dyDescent="0.3">
      <c r="A57" s="3">
        <v>44470</v>
      </c>
      <c r="B57" s="4" t="s">
        <v>58</v>
      </c>
      <c r="C57" s="6">
        <v>4642.5</v>
      </c>
    </row>
    <row r="58" spans="1:5" ht="15.75" customHeight="1" x14ac:dyDescent="0.3">
      <c r="A58" s="3">
        <v>44562</v>
      </c>
      <c r="B58" s="4" t="s">
        <v>59</v>
      </c>
      <c r="C58" s="6">
        <v>4645.1000000000004</v>
      </c>
      <c r="D58" s="6">
        <v>155.1</v>
      </c>
      <c r="E58" s="6">
        <v>155.1</v>
      </c>
    </row>
    <row r="59" spans="1:5" ht="15.75" customHeight="1" x14ac:dyDescent="0.3">
      <c r="A59" s="3">
        <v>44652</v>
      </c>
      <c r="B59" s="4" t="s">
        <v>60</v>
      </c>
      <c r="C59" s="6">
        <v>5372.6</v>
      </c>
      <c r="D59" s="6">
        <v>34.4</v>
      </c>
      <c r="E59" s="6">
        <v>72.2</v>
      </c>
    </row>
    <row r="60" spans="1:5" ht="15.75" customHeight="1" x14ac:dyDescent="0.3">
      <c r="A60" s="3">
        <v>44743</v>
      </c>
      <c r="B60" s="4" t="s">
        <v>61</v>
      </c>
      <c r="C60" s="6">
        <v>5559.1</v>
      </c>
      <c r="D60" s="6">
        <v>23.3</v>
      </c>
      <c r="E60" s="6">
        <v>50.8</v>
      </c>
    </row>
    <row r="61" spans="1:5" ht="15.75" customHeight="1" x14ac:dyDescent="0.3">
      <c r="A61" s="3">
        <v>44835</v>
      </c>
      <c r="B61" s="4" t="s">
        <v>62</v>
      </c>
      <c r="C61" s="6">
        <v>5554.1</v>
      </c>
      <c r="D61" s="6">
        <v>19.600000000000001</v>
      </c>
      <c r="E61" s="6">
        <v>41.1</v>
      </c>
    </row>
    <row r="62" spans="1:5" ht="15.75" customHeight="1" x14ac:dyDescent="0.3">
      <c r="A62" s="3">
        <v>44927</v>
      </c>
      <c r="B62" s="4" t="s">
        <v>63</v>
      </c>
      <c r="C62" s="6">
        <v>5589.9</v>
      </c>
      <c r="D62" s="6">
        <v>20.3</v>
      </c>
      <c r="E62" s="6">
        <v>20.3</v>
      </c>
    </row>
    <row r="63" spans="1:5" ht="15.75" customHeight="1" x14ac:dyDescent="0.3">
      <c r="A63" s="3">
        <v>45017</v>
      </c>
      <c r="B63" s="4" t="s">
        <v>64</v>
      </c>
      <c r="C63" s="6">
        <v>5612.4</v>
      </c>
      <c r="D63" s="6">
        <v>4.5</v>
      </c>
      <c r="E63" s="6">
        <v>11.8</v>
      </c>
    </row>
    <row r="64" spans="1:5" ht="15.75" customHeight="1" x14ac:dyDescent="0.3">
      <c r="A64" s="3">
        <v>45108</v>
      </c>
      <c r="B64" s="4" t="s">
        <v>65</v>
      </c>
      <c r="C64" s="6">
        <v>5128.8999999999996</v>
      </c>
      <c r="D64" s="6">
        <v>-7.7</v>
      </c>
      <c r="E64" s="6">
        <v>4.8</v>
      </c>
    </row>
    <row r="65" spans="1:5" ht="15.75" customHeight="1" x14ac:dyDescent="0.3">
      <c r="A65" s="3">
        <v>45200</v>
      </c>
      <c r="B65" s="4" t="s">
        <v>66</v>
      </c>
      <c r="C65" s="6">
        <v>5242.1000000000004</v>
      </c>
      <c r="D65" s="6">
        <v>-5.6</v>
      </c>
      <c r="E65" s="6">
        <v>2.1</v>
      </c>
    </row>
    <row r="66" spans="1:5" ht="15.75" customHeight="1" x14ac:dyDescent="0.3">
      <c r="A66" s="3">
        <v>45292</v>
      </c>
      <c r="B66" s="4" t="s">
        <v>67</v>
      </c>
      <c r="C66" s="6">
        <v>5064.3</v>
      </c>
      <c r="D66" s="6">
        <v>-9.4</v>
      </c>
      <c r="E66" s="6">
        <v>-9.4</v>
      </c>
    </row>
    <row r="67" spans="1:5" ht="15.75" customHeight="1" x14ac:dyDescent="0.3">
      <c r="A67" s="3">
        <v>45383</v>
      </c>
      <c r="B67" s="4" t="s">
        <v>68</v>
      </c>
      <c r="C67" s="6">
        <v>5077.6000000000004</v>
      </c>
      <c r="D67" s="6">
        <v>-9.5</v>
      </c>
      <c r="E67" s="6">
        <v>-9.5</v>
      </c>
    </row>
    <row r="68" spans="1:5" ht="15.75" customHeight="1" x14ac:dyDescent="0.3">
      <c r="A68" s="3">
        <v>45474</v>
      </c>
      <c r="B68" s="4" t="s">
        <v>69</v>
      </c>
      <c r="C68" s="6">
        <v>5110</v>
      </c>
      <c r="D68" s="6">
        <v>-0.4</v>
      </c>
      <c r="E68" s="6">
        <v>-6.6</v>
      </c>
    </row>
    <row r="69" spans="1:5" ht="15.75" customHeight="1" x14ac:dyDescent="0.3">
      <c r="A69" s="3">
        <v>45566</v>
      </c>
      <c r="B69" s="4" t="s">
        <v>70</v>
      </c>
      <c r="C69" s="6">
        <v>5228.6000000000004</v>
      </c>
      <c r="D69" s="6">
        <v>-0.3</v>
      </c>
      <c r="E69" s="6">
        <v>-5.0999999999999996</v>
      </c>
    </row>
    <row r="70" spans="1:5" ht="15.75" customHeight="1" x14ac:dyDescent="0.3">
      <c r="A70" s="3">
        <v>45658</v>
      </c>
      <c r="B70" s="4" t="s">
        <v>71</v>
      </c>
      <c r="C70" s="6">
        <v>5319.8</v>
      </c>
      <c r="D70" s="6">
        <v>5</v>
      </c>
      <c r="E70" s="6">
        <v>5</v>
      </c>
    </row>
    <row r="71" spans="1:5" ht="15.75" customHeight="1" x14ac:dyDescent="0.3">
      <c r="A71" s="3">
        <v>45748</v>
      </c>
      <c r="B71" s="4" t="s">
        <v>72</v>
      </c>
      <c r="C71" s="6">
        <v>5186.7</v>
      </c>
      <c r="D71" s="6">
        <v>2.1</v>
      </c>
      <c r="E71" s="6">
        <v>3.6</v>
      </c>
    </row>
    <row r="72" spans="1:5" ht="15.75" customHeight="1" x14ac:dyDescent="0.3">
      <c r="A72" s="3"/>
      <c r="B72" s="3"/>
    </row>
    <row r="73" spans="1:5" ht="15.75" customHeight="1" x14ac:dyDescent="0.3">
      <c r="A73" s="3"/>
      <c r="B73" s="3"/>
    </row>
    <row r="74" spans="1:5" ht="15.75" customHeight="1" x14ac:dyDescent="0.3">
      <c r="A74" s="3"/>
      <c r="B74" s="3"/>
    </row>
    <row r="75" spans="1:5" ht="15.75" customHeight="1" x14ac:dyDescent="0.3">
      <c r="A75" s="3"/>
      <c r="B75" s="3"/>
    </row>
    <row r="76" spans="1:5" ht="15.75" customHeight="1" x14ac:dyDescent="0.3">
      <c r="A76" s="3"/>
      <c r="B76" s="3"/>
    </row>
    <row r="77" spans="1:5" ht="15.75" customHeight="1" x14ac:dyDescent="0.3">
      <c r="A77" s="3"/>
      <c r="B77" s="3"/>
    </row>
    <row r="78" spans="1:5" ht="15.75" customHeight="1" x14ac:dyDescent="0.3">
      <c r="A78" s="3"/>
      <c r="B78" s="3"/>
    </row>
    <row r="79" spans="1:5" ht="15.75" customHeight="1" x14ac:dyDescent="0.3">
      <c r="A79" s="3"/>
      <c r="B79" s="3"/>
    </row>
    <row r="80" spans="1:5" ht="15.75" customHeight="1" x14ac:dyDescent="0.3">
      <c r="A80" s="3"/>
      <c r="B80" s="3"/>
    </row>
    <row r="81" spans="1:2" ht="15.75" customHeight="1" x14ac:dyDescent="0.3">
      <c r="A81" s="3"/>
      <c r="B81" s="3"/>
    </row>
    <row r="82" spans="1:2" ht="15.75" customHeight="1" x14ac:dyDescent="0.3">
      <c r="A82" s="3"/>
      <c r="B82" s="3"/>
    </row>
    <row r="83" spans="1:2" ht="15.75" customHeight="1" x14ac:dyDescent="0.3">
      <c r="A83" s="3"/>
      <c r="B83" s="3"/>
    </row>
    <row r="84" spans="1:2" ht="15.75" customHeight="1" x14ac:dyDescent="0.3">
      <c r="A84" s="3"/>
      <c r="B84" s="3"/>
    </row>
    <row r="85" spans="1:2" ht="15.75" customHeight="1" x14ac:dyDescent="0.3">
      <c r="A85" s="3"/>
      <c r="B85" s="3"/>
    </row>
    <row r="86" spans="1:2" ht="15.75" customHeight="1" x14ac:dyDescent="0.3">
      <c r="A86" s="3"/>
      <c r="B86" s="3"/>
    </row>
    <row r="87" spans="1:2" ht="15.75" customHeight="1" x14ac:dyDescent="0.3">
      <c r="A87" s="3"/>
      <c r="B87" s="3"/>
    </row>
    <row r="88" spans="1:2" ht="15.75" customHeight="1" x14ac:dyDescent="0.3">
      <c r="A88" s="3"/>
      <c r="B88" s="3"/>
    </row>
    <row r="89" spans="1:2" ht="15.75" customHeight="1" x14ac:dyDescent="0.3">
      <c r="A89" s="3"/>
      <c r="B89" s="3"/>
    </row>
    <row r="90" spans="1:2" ht="15.75" customHeight="1" x14ac:dyDescent="0.3">
      <c r="A90" s="3"/>
      <c r="B90" s="3"/>
    </row>
    <row r="91" spans="1:2" ht="15.75" customHeight="1" x14ac:dyDescent="0.3">
      <c r="A91" s="3"/>
      <c r="B91" s="3"/>
    </row>
    <row r="92" spans="1:2" ht="15.75" customHeight="1" x14ac:dyDescent="0.3">
      <c r="A92" s="3"/>
      <c r="B92" s="3"/>
    </row>
    <row r="93" spans="1:2" ht="15.75" customHeight="1" x14ac:dyDescent="0.3">
      <c r="A93" s="3"/>
      <c r="B93" s="3"/>
    </row>
    <row r="94" spans="1:2" ht="15.75" customHeight="1" x14ac:dyDescent="0.3">
      <c r="A94" s="3"/>
      <c r="B94" s="3"/>
    </row>
    <row r="95" spans="1:2" ht="15.75" customHeight="1" x14ac:dyDescent="0.3">
      <c r="A95" s="3"/>
      <c r="B95" s="3"/>
    </row>
    <row r="96" spans="1:2" ht="15.75" customHeight="1" x14ac:dyDescent="0.3">
      <c r="A96" s="3"/>
      <c r="B96" s="3"/>
    </row>
    <row r="97" spans="1:2" ht="15.75" customHeight="1" x14ac:dyDescent="0.3">
      <c r="A97" s="3"/>
      <c r="B97" s="3"/>
    </row>
    <row r="98" spans="1:2" ht="15.75" customHeight="1" x14ac:dyDescent="0.3">
      <c r="A98" s="3"/>
      <c r="B98" s="3"/>
    </row>
    <row r="99" spans="1:2" ht="15.75" customHeight="1" x14ac:dyDescent="0.3">
      <c r="A99" s="3"/>
      <c r="B99" s="3"/>
    </row>
    <row r="100" spans="1:2" ht="15.75" customHeight="1" x14ac:dyDescent="0.3">
      <c r="A100" s="3"/>
      <c r="B100" s="3"/>
    </row>
    <row r="101" spans="1:2" ht="15.75" customHeight="1" x14ac:dyDescent="0.3">
      <c r="A101" s="3"/>
      <c r="B101" s="3"/>
    </row>
    <row r="102" spans="1:2" ht="15.75" customHeight="1" x14ac:dyDescent="0.3">
      <c r="A102" s="3"/>
      <c r="B102" s="3"/>
    </row>
    <row r="103" spans="1:2" ht="15.75" customHeight="1" x14ac:dyDescent="0.3">
      <c r="A103" s="3"/>
      <c r="B103" s="3"/>
    </row>
    <row r="104" spans="1:2" ht="15.75" customHeight="1" x14ac:dyDescent="0.3">
      <c r="A104" s="3"/>
      <c r="B104" s="3"/>
    </row>
    <row r="105" spans="1:2" ht="15.75" customHeight="1" x14ac:dyDescent="0.3">
      <c r="A105" s="3"/>
      <c r="B105" s="3"/>
    </row>
    <row r="106" spans="1:2" ht="15.75" customHeight="1" x14ac:dyDescent="0.3">
      <c r="A106" s="3"/>
      <c r="B106" s="3"/>
    </row>
    <row r="107" spans="1:2" ht="15.75" customHeight="1" x14ac:dyDescent="0.3">
      <c r="A107" s="3"/>
      <c r="B107" s="3"/>
    </row>
    <row r="108" spans="1:2" ht="15.75" customHeight="1" x14ac:dyDescent="0.3">
      <c r="A108" s="3"/>
      <c r="B108" s="3"/>
    </row>
    <row r="109" spans="1:2" ht="15.75" customHeight="1" x14ac:dyDescent="0.3">
      <c r="A109" s="3"/>
      <c r="B109" s="3"/>
    </row>
    <row r="110" spans="1:2" ht="15.75" customHeight="1" x14ac:dyDescent="0.3">
      <c r="A110" s="3"/>
      <c r="B110" s="3"/>
    </row>
    <row r="111" spans="1:2" ht="15.75" customHeight="1" x14ac:dyDescent="0.3">
      <c r="A111" s="3"/>
      <c r="B111" s="3"/>
    </row>
    <row r="112" spans="1:2" ht="15.75" customHeight="1" x14ac:dyDescent="0.3">
      <c r="A112" s="3"/>
      <c r="B112" s="3"/>
    </row>
    <row r="113" spans="1:2" ht="15.75" customHeight="1" x14ac:dyDescent="0.3">
      <c r="A113" s="3"/>
      <c r="B113" s="3"/>
    </row>
    <row r="114" spans="1:2" ht="15.75" customHeight="1" x14ac:dyDescent="0.3">
      <c r="A114" s="3"/>
      <c r="B114" s="3"/>
    </row>
    <row r="115" spans="1:2" ht="15.75" customHeight="1" x14ac:dyDescent="0.3">
      <c r="A115" s="3"/>
      <c r="B115" s="3"/>
    </row>
    <row r="116" spans="1:2" ht="15.75" customHeight="1" x14ac:dyDescent="0.3">
      <c r="A116" s="3"/>
      <c r="B116" s="3"/>
    </row>
    <row r="117" spans="1:2" ht="15.75" customHeight="1" x14ac:dyDescent="0.3">
      <c r="A117" s="3"/>
      <c r="B117" s="3"/>
    </row>
    <row r="118" spans="1:2" ht="15.75" customHeight="1" x14ac:dyDescent="0.3">
      <c r="A118" s="3"/>
      <c r="B118" s="3"/>
    </row>
    <row r="119" spans="1:2" ht="15.75" customHeight="1" x14ac:dyDescent="0.3">
      <c r="A119" s="3"/>
      <c r="B119" s="3"/>
    </row>
    <row r="120" spans="1:2" ht="15.75" customHeight="1" x14ac:dyDescent="0.3">
      <c r="A120" s="3"/>
      <c r="B120" s="3"/>
    </row>
    <row r="121" spans="1:2" ht="15.75" customHeight="1" x14ac:dyDescent="0.3">
      <c r="A121" s="3"/>
      <c r="B121" s="3"/>
    </row>
    <row r="122" spans="1:2" ht="15.75" customHeight="1" x14ac:dyDescent="0.3">
      <c r="A122" s="3"/>
      <c r="B122" s="3"/>
    </row>
    <row r="123" spans="1:2" ht="15.75" customHeight="1" x14ac:dyDescent="0.3">
      <c r="A123" s="3"/>
      <c r="B123" s="3"/>
    </row>
    <row r="124" spans="1:2" ht="15.75" customHeight="1" x14ac:dyDescent="0.3">
      <c r="A124" s="3"/>
      <c r="B124" s="3"/>
    </row>
    <row r="125" spans="1:2" ht="15.75" customHeight="1" x14ac:dyDescent="0.3">
      <c r="A125" s="3"/>
      <c r="B125" s="3"/>
    </row>
    <row r="126" spans="1:2" ht="15.75" customHeight="1" x14ac:dyDescent="0.3">
      <c r="A126" s="3"/>
      <c r="B126" s="3"/>
    </row>
    <row r="127" spans="1:2" ht="15.75" customHeight="1" x14ac:dyDescent="0.3">
      <c r="A127" s="3"/>
      <c r="B127" s="3"/>
    </row>
    <row r="128" spans="1:2" ht="15.75" customHeight="1" x14ac:dyDescent="0.3">
      <c r="A128" s="3"/>
      <c r="B128" s="3"/>
    </row>
    <row r="129" spans="1:2" ht="15.75" customHeight="1" x14ac:dyDescent="0.3">
      <c r="A129" s="3"/>
      <c r="B129" s="3"/>
    </row>
    <row r="130" spans="1:2" ht="15.75" customHeight="1" x14ac:dyDescent="0.3">
      <c r="A130" s="3"/>
      <c r="B130" s="3"/>
    </row>
    <row r="131" spans="1:2" ht="15.75" customHeight="1" x14ac:dyDescent="0.3">
      <c r="A131" s="3"/>
      <c r="B131" s="3"/>
    </row>
    <row r="132" spans="1:2" ht="15.75" customHeight="1" x14ac:dyDescent="0.3">
      <c r="A132" s="3"/>
      <c r="B132" s="3"/>
    </row>
    <row r="133" spans="1:2" ht="15.75" customHeight="1" x14ac:dyDescent="0.3">
      <c r="A133" s="3"/>
      <c r="B133" s="3"/>
    </row>
    <row r="134" spans="1:2" ht="15.75" customHeight="1" x14ac:dyDescent="0.3">
      <c r="A134" s="3"/>
      <c r="B134" s="3"/>
    </row>
    <row r="135" spans="1:2" ht="15.75" customHeight="1" x14ac:dyDescent="0.3">
      <c r="A135" s="3"/>
      <c r="B135" s="3"/>
    </row>
    <row r="136" spans="1:2" ht="15.75" customHeight="1" x14ac:dyDescent="0.3">
      <c r="A136" s="3"/>
      <c r="B136" s="3"/>
    </row>
    <row r="137" spans="1:2" ht="15.75" customHeight="1" x14ac:dyDescent="0.3">
      <c r="A137" s="3"/>
      <c r="B137" s="3"/>
    </row>
    <row r="138" spans="1:2" ht="15.75" customHeight="1" x14ac:dyDescent="0.3">
      <c r="A138" s="3"/>
      <c r="B138" s="3"/>
    </row>
    <row r="139" spans="1:2" ht="15.75" customHeight="1" x14ac:dyDescent="0.3">
      <c r="A139" s="3"/>
      <c r="B139" s="3"/>
    </row>
    <row r="140" spans="1:2" ht="15.75" customHeight="1" x14ac:dyDescent="0.3">
      <c r="A140" s="3"/>
      <c r="B140" s="3"/>
    </row>
    <row r="141" spans="1:2" ht="15.75" customHeight="1" x14ac:dyDescent="0.3">
      <c r="A141" s="3"/>
      <c r="B141" s="3"/>
    </row>
    <row r="142" spans="1:2" ht="15.75" customHeight="1" x14ac:dyDescent="0.3">
      <c r="A142" s="3"/>
      <c r="B142" s="3"/>
    </row>
    <row r="143" spans="1:2" ht="15.75" customHeight="1" x14ac:dyDescent="0.3">
      <c r="A143" s="3"/>
      <c r="B143" s="3"/>
    </row>
    <row r="144" spans="1:2" ht="15.75" customHeight="1" x14ac:dyDescent="0.3">
      <c r="A144" s="3"/>
      <c r="B144" s="3"/>
    </row>
    <row r="145" spans="1:2" ht="15.75" customHeight="1" x14ac:dyDescent="0.3">
      <c r="A145" s="3"/>
      <c r="B145" s="3"/>
    </row>
    <row r="146" spans="1:2" ht="15.75" customHeight="1" x14ac:dyDescent="0.3">
      <c r="A146" s="3"/>
      <c r="B146" s="3"/>
    </row>
    <row r="147" spans="1:2" ht="15.75" customHeight="1" x14ac:dyDescent="0.3">
      <c r="A147" s="3"/>
      <c r="B147" s="3"/>
    </row>
    <row r="148" spans="1:2" ht="15.75" customHeight="1" x14ac:dyDescent="0.3">
      <c r="A148" s="3"/>
      <c r="B148" s="3"/>
    </row>
    <row r="149" spans="1:2" ht="15.75" customHeight="1" x14ac:dyDescent="0.3">
      <c r="A149" s="3"/>
      <c r="B149" s="3"/>
    </row>
    <row r="150" spans="1:2" ht="15.75" customHeight="1" x14ac:dyDescent="0.3">
      <c r="A150" s="3"/>
      <c r="B150" s="3"/>
    </row>
    <row r="151" spans="1:2" ht="15.75" customHeight="1" x14ac:dyDescent="0.3">
      <c r="A151" s="3"/>
      <c r="B151" s="3"/>
    </row>
    <row r="152" spans="1:2" ht="15.75" customHeight="1" x14ac:dyDescent="0.3">
      <c r="A152" s="3"/>
      <c r="B152" s="3"/>
    </row>
    <row r="153" spans="1:2" ht="15.75" customHeight="1" x14ac:dyDescent="0.3">
      <c r="A153" s="3"/>
      <c r="B153" s="3"/>
    </row>
    <row r="154" spans="1:2" ht="15.75" customHeight="1" x14ac:dyDescent="0.3">
      <c r="A154" s="3"/>
      <c r="B154" s="3"/>
    </row>
    <row r="155" spans="1:2" ht="15.75" customHeight="1" x14ac:dyDescent="0.3">
      <c r="A155" s="3"/>
      <c r="B155" s="3"/>
    </row>
    <row r="156" spans="1:2" ht="15.75" customHeight="1" x14ac:dyDescent="0.3">
      <c r="A156" s="3"/>
      <c r="B156" s="3"/>
    </row>
    <row r="157" spans="1:2" ht="15.75" customHeight="1" x14ac:dyDescent="0.3">
      <c r="A157" s="3"/>
      <c r="B157" s="3"/>
    </row>
    <row r="158" spans="1:2" ht="15.75" customHeight="1" x14ac:dyDescent="0.3">
      <c r="A158" s="3"/>
      <c r="B158" s="3"/>
    </row>
    <row r="159" spans="1:2" ht="15.75" customHeight="1" x14ac:dyDescent="0.3">
      <c r="A159" s="3"/>
      <c r="B159" s="3"/>
    </row>
    <row r="160" spans="1:2" ht="15.75" customHeight="1" x14ac:dyDescent="0.3">
      <c r="A160" s="3"/>
      <c r="B160" s="3"/>
    </row>
    <row r="161" spans="1:2" ht="15.75" customHeight="1" x14ac:dyDescent="0.3">
      <c r="A161" s="3"/>
      <c r="B161" s="3"/>
    </row>
    <row r="162" spans="1:2" ht="15.75" customHeight="1" x14ac:dyDescent="0.3">
      <c r="A162" s="3"/>
      <c r="B162" s="3"/>
    </row>
    <row r="163" spans="1:2" ht="15.75" customHeight="1" x14ac:dyDescent="0.3">
      <c r="A163" s="3"/>
      <c r="B163" s="3"/>
    </row>
    <row r="164" spans="1:2" ht="15.75" customHeight="1" x14ac:dyDescent="0.3">
      <c r="A164" s="3"/>
      <c r="B164" s="3"/>
    </row>
    <row r="165" spans="1:2" ht="15.75" customHeight="1" x14ac:dyDescent="0.3">
      <c r="A165" s="3"/>
      <c r="B165" s="3"/>
    </row>
    <row r="166" spans="1:2" ht="15.75" customHeight="1" x14ac:dyDescent="0.3">
      <c r="A166" s="3"/>
      <c r="B166" s="3"/>
    </row>
    <row r="167" spans="1:2" ht="15.75" customHeight="1" x14ac:dyDescent="0.3">
      <c r="A167" s="3"/>
      <c r="B167" s="3"/>
    </row>
    <row r="168" spans="1:2" ht="15.75" customHeight="1" x14ac:dyDescent="0.3">
      <c r="A168" s="3"/>
      <c r="B168" s="3"/>
    </row>
    <row r="169" spans="1:2" ht="15.75" customHeight="1" x14ac:dyDescent="0.3">
      <c r="A169" s="3"/>
      <c r="B169" s="3"/>
    </row>
    <row r="170" spans="1:2" ht="15.75" customHeight="1" x14ac:dyDescent="0.3">
      <c r="A170" s="3"/>
      <c r="B170" s="3"/>
    </row>
    <row r="171" spans="1:2" ht="15.75" customHeight="1" x14ac:dyDescent="0.3">
      <c r="A171" s="3"/>
      <c r="B171" s="3"/>
    </row>
    <row r="172" spans="1:2" ht="15.75" customHeight="1" x14ac:dyDescent="0.3">
      <c r="A172" s="3"/>
      <c r="B172" s="3"/>
    </row>
    <row r="173" spans="1:2" ht="15.75" customHeight="1" x14ac:dyDescent="0.3">
      <c r="A173" s="3"/>
      <c r="B173" s="3"/>
    </row>
    <row r="174" spans="1:2" ht="15.75" customHeight="1" x14ac:dyDescent="0.3">
      <c r="A174" s="3"/>
      <c r="B174" s="3"/>
    </row>
    <row r="175" spans="1:2" ht="15.75" customHeight="1" x14ac:dyDescent="0.3">
      <c r="A175" s="3"/>
      <c r="B175" s="3"/>
    </row>
    <row r="176" spans="1:2" ht="15.75" customHeight="1" x14ac:dyDescent="0.3">
      <c r="A176" s="3"/>
      <c r="B176" s="3"/>
    </row>
    <row r="177" spans="1:2" ht="15.75" customHeight="1" x14ac:dyDescent="0.3">
      <c r="A177" s="3"/>
      <c r="B177" s="3"/>
    </row>
    <row r="178" spans="1:2" ht="15.75" customHeight="1" x14ac:dyDescent="0.3">
      <c r="A178" s="3"/>
      <c r="B178" s="3"/>
    </row>
    <row r="179" spans="1:2" ht="15.75" customHeight="1" x14ac:dyDescent="0.3">
      <c r="A179" s="3"/>
      <c r="B179" s="3"/>
    </row>
    <row r="180" spans="1:2" ht="15.75" customHeight="1" x14ac:dyDescent="0.3">
      <c r="A180" s="3"/>
      <c r="B180" s="3"/>
    </row>
    <row r="181" spans="1:2" ht="15.75" customHeight="1" x14ac:dyDescent="0.3">
      <c r="A181" s="3"/>
      <c r="B181" s="3"/>
    </row>
    <row r="182" spans="1:2" ht="15.75" customHeight="1" x14ac:dyDescent="0.3">
      <c r="A182" s="3"/>
      <c r="B182" s="3"/>
    </row>
    <row r="183" spans="1:2" ht="15.75" customHeight="1" x14ac:dyDescent="0.3">
      <c r="A183" s="3"/>
      <c r="B183" s="3"/>
    </row>
    <row r="184" spans="1:2" ht="15.75" customHeight="1" x14ac:dyDescent="0.3">
      <c r="A184" s="3"/>
      <c r="B184" s="3"/>
    </row>
    <row r="185" spans="1:2" ht="15.75" customHeight="1" x14ac:dyDescent="0.3">
      <c r="A185" s="3"/>
      <c r="B185" s="3"/>
    </row>
    <row r="186" spans="1:2" ht="15.75" customHeight="1" x14ac:dyDescent="0.3">
      <c r="A186" s="3"/>
      <c r="B186" s="3"/>
    </row>
    <row r="187" spans="1:2" ht="15.75" customHeight="1" x14ac:dyDescent="0.3">
      <c r="A187" s="3"/>
      <c r="B187" s="3"/>
    </row>
    <row r="188" spans="1:2" ht="15.75" customHeight="1" x14ac:dyDescent="0.3">
      <c r="A188" s="3"/>
      <c r="B188" s="3"/>
    </row>
    <row r="189" spans="1:2" ht="15.75" customHeight="1" x14ac:dyDescent="0.3">
      <c r="A189" s="3"/>
      <c r="B189" s="3"/>
    </row>
    <row r="190" spans="1:2" ht="15.75" customHeight="1" x14ac:dyDescent="0.3">
      <c r="A190" s="3"/>
      <c r="B190" s="3"/>
    </row>
    <row r="191" spans="1:2" ht="15.75" customHeight="1" x14ac:dyDescent="0.3">
      <c r="A191" s="3"/>
      <c r="B191" s="3"/>
    </row>
    <row r="192" spans="1:2" ht="15.75" customHeight="1" x14ac:dyDescent="0.3">
      <c r="A192" s="3"/>
      <c r="B192" s="3"/>
    </row>
    <row r="193" spans="1:2" ht="15.75" customHeight="1" x14ac:dyDescent="0.3">
      <c r="A193" s="3"/>
      <c r="B193" s="3"/>
    </row>
    <row r="194" spans="1:2" ht="15.75" customHeight="1" x14ac:dyDescent="0.3">
      <c r="A194" s="3"/>
      <c r="B194" s="3"/>
    </row>
    <row r="195" spans="1:2" ht="15.75" customHeight="1" x14ac:dyDescent="0.3">
      <c r="A195" s="3"/>
      <c r="B195" s="3"/>
    </row>
    <row r="196" spans="1:2" ht="15.75" customHeight="1" x14ac:dyDescent="0.3">
      <c r="A196" s="3"/>
      <c r="B196" s="3"/>
    </row>
    <row r="197" spans="1:2" ht="15.75" customHeight="1" x14ac:dyDescent="0.3">
      <c r="A197" s="3"/>
      <c r="B197" s="3"/>
    </row>
    <row r="198" spans="1:2" ht="15.75" customHeight="1" x14ac:dyDescent="0.3">
      <c r="A198" s="3"/>
      <c r="B198" s="3"/>
    </row>
    <row r="199" spans="1:2" ht="15.75" customHeight="1" x14ac:dyDescent="0.3">
      <c r="A199" s="3"/>
      <c r="B199" s="3"/>
    </row>
    <row r="200" spans="1:2" ht="15.75" customHeight="1" x14ac:dyDescent="0.3">
      <c r="A200" s="3"/>
      <c r="B200" s="3"/>
    </row>
    <row r="201" spans="1:2" ht="15.75" customHeight="1" x14ac:dyDescent="0.3">
      <c r="A201" s="3"/>
      <c r="B201" s="3"/>
    </row>
    <row r="202" spans="1:2" ht="15.75" customHeight="1" x14ac:dyDescent="0.3">
      <c r="A202" s="3"/>
      <c r="B202" s="3"/>
    </row>
    <row r="203" spans="1:2" ht="15.75" customHeight="1" x14ac:dyDescent="0.3">
      <c r="A203" s="3"/>
      <c r="B203" s="3"/>
    </row>
    <row r="204" spans="1:2" ht="15.75" customHeight="1" x14ac:dyDescent="0.3">
      <c r="A204" s="3"/>
      <c r="B204" s="3"/>
    </row>
    <row r="205" spans="1:2" ht="15.75" customHeight="1" x14ac:dyDescent="0.3">
      <c r="A205" s="3"/>
      <c r="B205" s="3"/>
    </row>
    <row r="206" spans="1:2" ht="15.75" customHeight="1" x14ac:dyDescent="0.3">
      <c r="A206" s="3"/>
      <c r="B206" s="3"/>
    </row>
    <row r="207" spans="1:2" ht="15.75" customHeight="1" x14ac:dyDescent="0.3">
      <c r="A207" s="3"/>
      <c r="B207" s="3"/>
    </row>
    <row r="208" spans="1:2" ht="15.75" customHeight="1" x14ac:dyDescent="0.3">
      <c r="A208" s="3"/>
      <c r="B208" s="3"/>
    </row>
    <row r="209" spans="1:2" ht="15.75" customHeight="1" x14ac:dyDescent="0.3">
      <c r="A209" s="3"/>
      <c r="B209" s="3"/>
    </row>
    <row r="210" spans="1:2" ht="15.75" customHeight="1" x14ac:dyDescent="0.3">
      <c r="A210" s="3"/>
      <c r="B210" s="3"/>
    </row>
    <row r="211" spans="1:2" ht="15.75" customHeight="1" x14ac:dyDescent="0.3">
      <c r="A211" s="3"/>
      <c r="B211" s="3"/>
    </row>
    <row r="212" spans="1:2" ht="15.75" customHeight="1" x14ac:dyDescent="0.3">
      <c r="A212" s="3"/>
      <c r="B212" s="3"/>
    </row>
    <row r="213" spans="1:2" ht="15.75" customHeight="1" x14ac:dyDescent="0.3">
      <c r="A213" s="3"/>
      <c r="B213" s="3"/>
    </row>
    <row r="214" spans="1:2" ht="15.75" customHeight="1" x14ac:dyDescent="0.3">
      <c r="A214" s="3"/>
      <c r="B214" s="3"/>
    </row>
    <row r="215" spans="1:2" ht="15.75" customHeight="1" x14ac:dyDescent="0.3">
      <c r="A215" s="3"/>
      <c r="B215" s="3"/>
    </row>
    <row r="216" spans="1:2" ht="15.75" customHeight="1" x14ac:dyDescent="0.3">
      <c r="A216" s="3"/>
      <c r="B216" s="3"/>
    </row>
    <row r="217" spans="1:2" ht="15.75" customHeight="1" x14ac:dyDescent="0.3">
      <c r="A217" s="3"/>
      <c r="B217" s="3"/>
    </row>
    <row r="218" spans="1:2" ht="15.75" customHeight="1" x14ac:dyDescent="0.3">
      <c r="A218" s="3"/>
      <c r="B218" s="3"/>
    </row>
    <row r="219" spans="1:2" ht="15.75" customHeight="1" x14ac:dyDescent="0.3">
      <c r="A219" s="3"/>
      <c r="B219" s="3"/>
    </row>
    <row r="220" spans="1:2" ht="15.75" customHeight="1" x14ac:dyDescent="0.3">
      <c r="A220" s="3"/>
      <c r="B220" s="3"/>
    </row>
    <row r="221" spans="1:2" ht="15.75" customHeight="1" x14ac:dyDescent="0.3">
      <c r="A221" s="3"/>
      <c r="B221" s="3"/>
    </row>
    <row r="222" spans="1:2" ht="15.75" customHeight="1" x14ac:dyDescent="0.3">
      <c r="A222" s="3"/>
      <c r="B222" s="3"/>
    </row>
    <row r="223" spans="1:2" ht="15.75" customHeight="1" x14ac:dyDescent="0.3">
      <c r="A223" s="3"/>
      <c r="B223" s="3"/>
    </row>
    <row r="224" spans="1:2" ht="15.75" customHeight="1" x14ac:dyDescent="0.3">
      <c r="A224" s="3"/>
      <c r="B224" s="3"/>
    </row>
    <row r="225" spans="1:2" ht="15.75" customHeight="1" x14ac:dyDescent="0.3">
      <c r="A225" s="3"/>
      <c r="B225" s="3"/>
    </row>
    <row r="226" spans="1:2" ht="15.75" customHeight="1" x14ac:dyDescent="0.3">
      <c r="A226" s="3"/>
      <c r="B226" s="3"/>
    </row>
    <row r="227" spans="1:2" ht="15.75" customHeight="1" x14ac:dyDescent="0.3">
      <c r="A227" s="3"/>
      <c r="B227" s="3"/>
    </row>
    <row r="228" spans="1:2" ht="15.75" customHeight="1" x14ac:dyDescent="0.3">
      <c r="A228" s="3"/>
      <c r="B228" s="3"/>
    </row>
    <row r="229" spans="1:2" ht="15.75" customHeight="1" x14ac:dyDescent="0.3">
      <c r="A229" s="3"/>
      <c r="B229" s="3"/>
    </row>
    <row r="230" spans="1:2" ht="15.75" customHeight="1" x14ac:dyDescent="0.3">
      <c r="A230" s="3"/>
      <c r="B230" s="3"/>
    </row>
    <row r="231" spans="1:2" ht="15.75" customHeight="1" x14ac:dyDescent="0.3">
      <c r="A231" s="3"/>
      <c r="B231" s="3"/>
    </row>
    <row r="232" spans="1:2" ht="15.75" customHeight="1" x14ac:dyDescent="0.3">
      <c r="A232" s="3"/>
      <c r="B232" s="3"/>
    </row>
    <row r="233" spans="1:2" ht="15.75" customHeight="1" x14ac:dyDescent="0.3">
      <c r="A233" s="3"/>
      <c r="B233" s="3"/>
    </row>
    <row r="234" spans="1:2" ht="15.75" customHeight="1" x14ac:dyDescent="0.3">
      <c r="A234" s="3"/>
      <c r="B234" s="3"/>
    </row>
    <row r="235" spans="1:2" ht="15.75" customHeight="1" x14ac:dyDescent="0.3">
      <c r="A235" s="3"/>
      <c r="B235" s="3"/>
    </row>
    <row r="236" spans="1:2" ht="15.75" customHeight="1" x14ac:dyDescent="0.3"/>
    <row r="237" spans="1:2" ht="15.75" customHeight="1" x14ac:dyDescent="0.3"/>
    <row r="238" spans="1:2" ht="15.75" customHeight="1" x14ac:dyDescent="0.3"/>
    <row r="239" spans="1:2" ht="15.75" customHeight="1" x14ac:dyDescent="0.3"/>
    <row r="240" spans="1:2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zoomScale="120" zoomScaleNormal="120" workbookViewId="0">
      <selection activeCell="F2" sqref="F2:F71"/>
    </sheetView>
  </sheetViews>
  <sheetFormatPr defaultColWidth="14.44140625" defaultRowHeight="15" customHeight="1" x14ac:dyDescent="0.3"/>
  <cols>
    <col min="1" max="1" width="15.33203125" customWidth="1"/>
    <col min="2" max="2" width="32.6640625" customWidth="1"/>
    <col min="3" max="3" width="16.44140625" bestFit="1" customWidth="1"/>
    <col min="4" max="4" width="24.88671875" customWidth="1"/>
    <col min="5" max="5" width="43.5546875" bestFit="1" customWidth="1"/>
    <col min="6" max="6" width="71" bestFit="1" customWidth="1"/>
    <col min="7" max="26" width="8.6640625" customWidth="1"/>
  </cols>
  <sheetData>
    <row r="1" spans="1:13" ht="14.55" x14ac:dyDescent="0.3">
      <c r="A1" s="6" t="s">
        <v>78</v>
      </c>
      <c r="B1" s="6" t="s">
        <v>84</v>
      </c>
      <c r="C1" s="6" t="s">
        <v>85</v>
      </c>
      <c r="D1" s="6" t="s">
        <v>79</v>
      </c>
      <c r="E1" s="18" t="s">
        <v>87</v>
      </c>
      <c r="F1" s="18" t="s">
        <v>88</v>
      </c>
      <c r="G1" s="6"/>
      <c r="H1" s="6"/>
      <c r="I1" s="6"/>
      <c r="J1" s="6"/>
      <c r="K1" s="6"/>
    </row>
    <row r="2" spans="1:13" ht="15.75" x14ac:dyDescent="0.3">
      <c r="A2" s="17" t="s">
        <v>3</v>
      </c>
      <c r="B2" s="20">
        <v>1066879430</v>
      </c>
      <c r="C2" s="22">
        <v>227.334</v>
      </c>
      <c r="D2" s="20">
        <f>Table2[[#This Row],[total_nominal_federal_obligations]]/(Table2[[#This Row],[CPI_1984_base]]/100)</f>
        <v>469300425.8052029</v>
      </c>
      <c r="E2" s="20">
        <f>Table2[[#This Row],[real_federal_obligations]]/1000000</f>
        <v>469.30042580520291</v>
      </c>
      <c r="F2" s="16">
        <v>469.3</v>
      </c>
      <c r="G2" s="7"/>
      <c r="H2" s="7"/>
      <c r="I2" s="7"/>
      <c r="J2" s="7"/>
      <c r="K2" s="7"/>
      <c r="M2" s="7"/>
    </row>
    <row r="3" spans="1:13" ht="15.75" x14ac:dyDescent="0.3">
      <c r="A3" s="17" t="s">
        <v>4</v>
      </c>
      <c r="B3" s="20">
        <v>1304701369</v>
      </c>
      <c r="C3" s="22">
        <v>227.334</v>
      </c>
      <c r="D3" s="20">
        <f>Table2[[#This Row],[total_nominal_federal_obligations]]/(Table2[[#This Row],[CPI_1984_base]]/100)</f>
        <v>573913875.17925167</v>
      </c>
      <c r="E3" s="20">
        <f>Table2[[#This Row],[real_federal_obligations]]/1000000</f>
        <v>573.9138751792517</v>
      </c>
      <c r="F3" s="16">
        <f t="shared" ref="F3:F34" si="0">AVERAGE(E2:E3)</f>
        <v>521.60715049222733</v>
      </c>
      <c r="G3" s="7"/>
      <c r="H3" s="7"/>
      <c r="I3" s="7"/>
      <c r="J3" s="7"/>
      <c r="K3" s="7"/>
      <c r="M3" s="7"/>
    </row>
    <row r="4" spans="1:13" ht="15.75" x14ac:dyDescent="0.3">
      <c r="A4" s="17" t="s">
        <v>5</v>
      </c>
      <c r="B4" s="20">
        <v>1125375680</v>
      </c>
      <c r="C4" s="22">
        <v>230.387</v>
      </c>
      <c r="D4" s="20">
        <f>Table2[[#This Row],[total_nominal_federal_obligations]]/(Table2[[#This Row],[CPI_1984_base]]/100)</f>
        <v>488471866.90221238</v>
      </c>
      <c r="E4" s="20">
        <f>Table2[[#This Row],[real_federal_obligations]]/1000000</f>
        <v>488.47186690221235</v>
      </c>
      <c r="F4" s="16">
        <f t="shared" si="0"/>
        <v>531.19287104073203</v>
      </c>
      <c r="G4" s="7"/>
      <c r="H4" s="7"/>
      <c r="I4" s="7"/>
      <c r="J4" s="7"/>
      <c r="K4" s="7"/>
      <c r="M4" s="7"/>
    </row>
    <row r="5" spans="1:13" ht="15.75" x14ac:dyDescent="0.3">
      <c r="A5" s="17" t="s">
        <v>6</v>
      </c>
      <c r="B5" s="20">
        <v>2055296368</v>
      </c>
      <c r="C5" s="22">
        <v>230.387</v>
      </c>
      <c r="D5" s="20">
        <f>Table2[[#This Row],[total_nominal_federal_obligations]]/(Table2[[#This Row],[CPI_1984_base]]/100)</f>
        <v>892106051.12267625</v>
      </c>
      <c r="E5" s="20">
        <f>Table2[[#This Row],[real_federal_obligations]]/1000000</f>
        <v>892.10605112267626</v>
      </c>
      <c r="F5" s="16">
        <f t="shared" si="0"/>
        <v>690.28895901244437</v>
      </c>
      <c r="G5" s="7"/>
      <c r="H5" s="7"/>
      <c r="I5" s="7"/>
      <c r="J5" s="7"/>
      <c r="K5" s="7"/>
      <c r="M5" s="7"/>
    </row>
    <row r="6" spans="1:13" ht="15.75" x14ac:dyDescent="0.3">
      <c r="A6" s="17" t="s">
        <v>7</v>
      </c>
      <c r="B6" s="20">
        <v>2316922284</v>
      </c>
      <c r="C6" s="22">
        <v>228.07</v>
      </c>
      <c r="D6" s="21">
        <f>Table2[[#This Row],[total_nominal_federal_obligations]]/(Table2[[#This Row],[CPI_1984_base]]/100)</f>
        <v>1015882090.5862236</v>
      </c>
      <c r="E6" s="20">
        <f>Table2[[#This Row],[real_federal_obligations]]/1000000</f>
        <v>1015.8820905862236</v>
      </c>
      <c r="F6" s="16">
        <f t="shared" si="0"/>
        <v>953.99407085445</v>
      </c>
      <c r="G6" s="7"/>
      <c r="H6" s="7"/>
      <c r="I6" s="7"/>
      <c r="J6" s="7"/>
      <c r="K6" s="7"/>
      <c r="M6" s="7"/>
    </row>
    <row r="7" spans="1:13" ht="15.75" x14ac:dyDescent="0.3">
      <c r="A7" s="17" t="s">
        <v>8</v>
      </c>
      <c r="B7" s="20">
        <v>1484096562</v>
      </c>
      <c r="C7" s="22">
        <v>228.07</v>
      </c>
      <c r="D7" s="21">
        <f>Table2[[#This Row],[total_nominal_federal_obligations]]/(Table2[[#This Row],[CPI_1984_base]]/100)</f>
        <v>650719762.35366333</v>
      </c>
      <c r="E7" s="20">
        <f>Table2[[#This Row],[real_federal_obligations]]/1000000</f>
        <v>650.71976235366333</v>
      </c>
      <c r="F7" s="16">
        <f t="shared" si="0"/>
        <v>833.30092646994353</v>
      </c>
      <c r="G7" s="7"/>
      <c r="H7" s="7"/>
      <c r="I7" s="7"/>
      <c r="J7" s="7"/>
      <c r="K7" s="7"/>
      <c r="M7" s="7"/>
    </row>
    <row r="8" spans="1:13" ht="15.75" x14ac:dyDescent="0.3">
      <c r="A8" s="17" t="s">
        <v>9</v>
      </c>
      <c r="B8" s="20">
        <v>2144534626</v>
      </c>
      <c r="C8" s="22">
        <v>232.02600000000001</v>
      </c>
      <c r="D8" s="21">
        <f>Table2[[#This Row],[total_nominal_federal_obligations]]/(Table2[[#This Row],[CPI_1984_base]]/100)</f>
        <v>924264791.8767724</v>
      </c>
      <c r="E8" s="20">
        <f>Table2[[#This Row],[real_federal_obligations]]/1000000</f>
        <v>924.26479187677239</v>
      </c>
      <c r="F8" s="16">
        <f t="shared" si="0"/>
        <v>787.4922771152178</v>
      </c>
      <c r="G8" s="7"/>
      <c r="H8" s="7"/>
      <c r="I8" s="7"/>
      <c r="J8" s="7"/>
      <c r="K8" s="7"/>
      <c r="M8" s="7"/>
    </row>
    <row r="9" spans="1:13" ht="15.75" x14ac:dyDescent="0.3">
      <c r="A9" s="17" t="s">
        <v>10</v>
      </c>
      <c r="B9" s="20">
        <v>3924014375</v>
      </c>
      <c r="C9" s="22">
        <v>232.02600000000001</v>
      </c>
      <c r="D9" s="21">
        <f>Table2[[#This Row],[total_nominal_federal_obligations]]/(Table2[[#This Row],[CPI_1984_base]]/100)</f>
        <v>1691195975.8820131</v>
      </c>
      <c r="E9" s="20">
        <f>Table2[[#This Row],[real_federal_obligations]]/1000000</f>
        <v>1691.195975882013</v>
      </c>
      <c r="F9" s="16">
        <f t="shared" si="0"/>
        <v>1307.7303838793928</v>
      </c>
      <c r="G9" s="7"/>
      <c r="H9" s="7"/>
      <c r="I9" s="7"/>
      <c r="J9" s="7"/>
      <c r="K9" s="7"/>
      <c r="M9" s="7"/>
    </row>
    <row r="10" spans="1:13" ht="15.75" x14ac:dyDescent="0.3">
      <c r="A10" s="17" t="s">
        <v>11</v>
      </c>
      <c r="B10" s="20">
        <v>2385611301</v>
      </c>
      <c r="C10" s="22">
        <v>233.822</v>
      </c>
      <c r="D10" s="20">
        <f>Table2[[#This Row],[total_nominal_federal_obligations]]/(Table2[[#This Row],[CPI_1984_base]]/100)</f>
        <v>1020268110.3574513</v>
      </c>
      <c r="E10" s="20">
        <f>Table2[[#This Row],[real_federal_obligations]]/1000000</f>
        <v>1020.2681103574513</v>
      </c>
      <c r="F10" s="16">
        <f t="shared" si="0"/>
        <v>1355.7320431197322</v>
      </c>
      <c r="G10" s="7"/>
      <c r="H10" s="7"/>
      <c r="I10" s="7"/>
      <c r="J10" s="7"/>
      <c r="K10" s="7"/>
      <c r="M10" s="8"/>
    </row>
    <row r="11" spans="1:13" ht="15.75" x14ac:dyDescent="0.3">
      <c r="A11" s="17" t="s">
        <v>12</v>
      </c>
      <c r="B11" s="20">
        <v>1667192886</v>
      </c>
      <c r="C11" s="22">
        <v>233.822</v>
      </c>
      <c r="D11" s="20">
        <f>Table2[[#This Row],[total_nominal_federal_obligations]]/(Table2[[#This Row],[CPI_1984_base]]/100)</f>
        <v>713017973.50121021</v>
      </c>
      <c r="E11" s="20">
        <f>Table2[[#This Row],[real_federal_obligations]]/1000000</f>
        <v>713.01797350121024</v>
      </c>
      <c r="F11" s="16">
        <f t="shared" si="0"/>
        <v>866.64304192933082</v>
      </c>
      <c r="G11" s="7"/>
      <c r="H11" s="7"/>
      <c r="I11" s="7"/>
      <c r="J11" s="7"/>
      <c r="K11" s="7"/>
      <c r="M11" s="8"/>
    </row>
    <row r="12" spans="1:13" ht="15.75" x14ac:dyDescent="0.3">
      <c r="A12" s="17" t="s">
        <v>13</v>
      </c>
      <c r="B12" s="20">
        <v>1789557030</v>
      </c>
      <c r="C12" s="22">
        <v>235.916</v>
      </c>
      <c r="D12" s="20">
        <f>Table2[[#This Row],[total_nominal_federal_obligations]]/(Table2[[#This Row],[CPI_1984_base]]/100)</f>
        <v>758556871.93746924</v>
      </c>
      <c r="E12" s="20">
        <f>Table2[[#This Row],[real_federal_obligations]]/1000000</f>
        <v>758.55687193746928</v>
      </c>
      <c r="F12" s="16">
        <f t="shared" si="0"/>
        <v>735.7874227193397</v>
      </c>
      <c r="G12" s="7"/>
      <c r="H12" s="7"/>
      <c r="I12" s="7"/>
      <c r="J12" s="7"/>
      <c r="K12" s="7"/>
      <c r="M12" s="8"/>
    </row>
    <row r="13" spans="1:13" ht="15.75" x14ac:dyDescent="0.3">
      <c r="A13" s="17" t="s">
        <v>14</v>
      </c>
      <c r="B13" s="20">
        <v>3164443235</v>
      </c>
      <c r="C13" s="22">
        <v>235.916</v>
      </c>
      <c r="D13" s="20">
        <f>Table2[[#This Row],[total_nominal_federal_obligations]]/(Table2[[#This Row],[CPI_1984_base]]/100)</f>
        <v>1341343204.7847538</v>
      </c>
      <c r="E13" s="20">
        <f>Table2[[#This Row],[real_federal_obligations]]/1000000</f>
        <v>1341.3432047847539</v>
      </c>
      <c r="F13" s="16">
        <f t="shared" si="0"/>
        <v>1049.9500383611116</v>
      </c>
      <c r="G13" s="7"/>
      <c r="H13" s="7"/>
      <c r="I13" s="7"/>
      <c r="J13" s="7"/>
      <c r="K13" s="7"/>
      <c r="M13" s="8"/>
    </row>
    <row r="14" spans="1:13" ht="15.75" x14ac:dyDescent="0.3">
      <c r="A14" s="17" t="s">
        <v>15</v>
      </c>
      <c r="B14" s="20">
        <v>5611006752</v>
      </c>
      <c r="C14" s="22">
        <v>241.90199999999999</v>
      </c>
      <c r="D14" s="20">
        <f>Table2[[#This Row],[total_nominal_federal_obligations]]/(Table2[[#This Row],[CPI_1984_base]]/100)</f>
        <v>2319537148.1012974</v>
      </c>
      <c r="E14" s="20">
        <f>Table2[[#This Row],[real_federal_obligations]]/1000000</f>
        <v>2319.5371481012976</v>
      </c>
      <c r="F14" s="16">
        <f t="shared" si="0"/>
        <v>1830.4401764430258</v>
      </c>
      <c r="G14" s="7"/>
      <c r="H14" s="7"/>
      <c r="I14" s="7"/>
      <c r="J14" s="7"/>
      <c r="K14" s="7"/>
    </row>
    <row r="15" spans="1:13" ht="15.75" x14ac:dyDescent="0.3">
      <c r="A15" s="17" t="s">
        <v>16</v>
      </c>
      <c r="B15" s="20">
        <v>4760943957</v>
      </c>
      <c r="C15" s="22">
        <v>241.90199999999999</v>
      </c>
      <c r="D15" s="20">
        <f>Table2[[#This Row],[total_nominal_federal_obligations]]/(Table2[[#This Row],[CPI_1984_base]]/100)</f>
        <v>1968129224.644691</v>
      </c>
      <c r="E15" s="20">
        <f>Table2[[#This Row],[real_federal_obligations]]/1000000</f>
        <v>1968.129224644691</v>
      </c>
      <c r="F15" s="16">
        <f t="shared" si="0"/>
        <v>2143.8331863729945</v>
      </c>
      <c r="G15" s="7"/>
      <c r="H15" s="7"/>
      <c r="I15" s="7"/>
      <c r="J15" s="7"/>
      <c r="K15" s="7"/>
    </row>
    <row r="16" spans="1:13" ht="15.75" x14ac:dyDescent="0.3">
      <c r="A16" s="17" t="s">
        <v>17</v>
      </c>
      <c r="B16" s="20">
        <v>4615410735</v>
      </c>
      <c r="C16" s="22">
        <v>245.34200000000001</v>
      </c>
      <c r="D16" s="20">
        <f>Table2[[#This Row],[total_nominal_federal_obligations]]/(Table2[[#This Row],[CPI_1984_base]]/100)</f>
        <v>1881215093.6244102</v>
      </c>
      <c r="E16" s="20">
        <f>Table2[[#This Row],[real_federal_obligations]]/1000000</f>
        <v>1881.2150936244102</v>
      </c>
      <c r="F16" s="16">
        <f t="shared" si="0"/>
        <v>1924.6721591345506</v>
      </c>
      <c r="G16" s="7"/>
      <c r="H16" s="7"/>
      <c r="I16" s="7"/>
      <c r="J16" s="7"/>
      <c r="K16" s="7"/>
    </row>
    <row r="17" spans="1:11" ht="15.75" x14ac:dyDescent="0.3">
      <c r="A17" s="17" t="s">
        <v>18</v>
      </c>
      <c r="B17" s="20">
        <v>6114893604</v>
      </c>
      <c r="C17" s="22">
        <v>245.34200000000001</v>
      </c>
      <c r="D17" s="20">
        <f>Table2[[#This Row],[total_nominal_federal_obligations]]/(Table2[[#This Row],[CPI_1984_base]]/100)</f>
        <v>2492395759.3889346</v>
      </c>
      <c r="E17" s="20">
        <f>Table2[[#This Row],[real_federal_obligations]]/1000000</f>
        <v>2492.3957593889345</v>
      </c>
      <c r="F17" s="16">
        <f t="shared" si="0"/>
        <v>2186.8054265066721</v>
      </c>
      <c r="G17" s="7"/>
      <c r="H17" s="7"/>
      <c r="I17" s="7"/>
      <c r="J17" s="7"/>
      <c r="K17" s="7"/>
    </row>
    <row r="18" spans="1:11" ht="15.75" x14ac:dyDescent="0.3">
      <c r="A18" s="17" t="s">
        <v>19</v>
      </c>
      <c r="B18" s="20">
        <v>5376208128</v>
      </c>
      <c r="C18" s="22">
        <v>248.64599999999999</v>
      </c>
      <c r="D18" s="20">
        <f>Table2[[#This Row],[total_nominal_federal_obligations]]/(Table2[[#This Row],[CPI_1984_base]]/100)</f>
        <v>2162193692.2371569</v>
      </c>
      <c r="E18" s="20">
        <f>Table2[[#This Row],[real_federal_obligations]]/1000000</f>
        <v>2162.1936922371569</v>
      </c>
      <c r="F18" s="16">
        <f t="shared" si="0"/>
        <v>2327.2947258130457</v>
      </c>
      <c r="G18" s="7"/>
      <c r="H18" s="7"/>
      <c r="I18" s="7"/>
      <c r="J18" s="7"/>
      <c r="K18" s="7"/>
    </row>
    <row r="19" spans="1:11" ht="15.75" x14ac:dyDescent="0.3">
      <c r="A19" s="17" t="s">
        <v>20</v>
      </c>
      <c r="B19" s="20">
        <v>4977424210</v>
      </c>
      <c r="C19" s="22">
        <v>248.64599999999999</v>
      </c>
      <c r="D19" s="20">
        <f>Table2[[#This Row],[total_nominal_federal_obligations]]/(Table2[[#This Row],[CPI_1984_base]]/100)</f>
        <v>2001811495.0572302</v>
      </c>
      <c r="E19" s="20">
        <f>Table2[[#This Row],[real_federal_obligations]]/1000000</f>
        <v>2001.8114950572303</v>
      </c>
      <c r="F19" s="16">
        <f t="shared" si="0"/>
        <v>2082.0025936471939</v>
      </c>
    </row>
    <row r="20" spans="1:11" ht="15.75" x14ac:dyDescent="0.3">
      <c r="A20" s="17" t="s">
        <v>21</v>
      </c>
      <c r="B20" s="20">
        <v>4927609874</v>
      </c>
      <c r="C20" s="22">
        <v>250.303</v>
      </c>
      <c r="D20" s="20">
        <f>Table2[[#This Row],[total_nominal_federal_obligations]]/(Table2[[#This Row],[CPI_1984_base]]/100)</f>
        <v>1968657936.1813483</v>
      </c>
      <c r="E20" s="20">
        <f>Table2[[#This Row],[real_federal_obligations]]/1000000</f>
        <v>1968.6579361813483</v>
      </c>
      <c r="F20" s="16">
        <f t="shared" si="0"/>
        <v>1985.2347156192893</v>
      </c>
    </row>
    <row r="21" spans="1:11" ht="15.75" customHeight="1" x14ac:dyDescent="0.3">
      <c r="A21" s="17" t="s">
        <v>22</v>
      </c>
      <c r="B21" s="20">
        <v>5639935327</v>
      </c>
      <c r="C21" s="22">
        <v>250.303</v>
      </c>
      <c r="D21" s="20">
        <f>Table2[[#This Row],[total_nominal_federal_obligations]]/(Table2[[#This Row],[CPI_1984_base]]/100)</f>
        <v>2253243200.0415497</v>
      </c>
      <c r="E21" s="20">
        <f>Table2[[#This Row],[real_federal_obligations]]/1000000</f>
        <v>2253.2432000415497</v>
      </c>
      <c r="F21" s="16">
        <f t="shared" si="0"/>
        <v>2110.9505681114488</v>
      </c>
    </row>
    <row r="22" spans="1:11" ht="15.75" customHeight="1" x14ac:dyDescent="0.3">
      <c r="A22" s="17" t="s">
        <v>23</v>
      </c>
      <c r="B22" s="20">
        <v>5376697651</v>
      </c>
      <c r="C22" s="22">
        <v>253.202</v>
      </c>
      <c r="D22" s="20">
        <f>Table2[[#This Row],[total_nominal_federal_obligations]]/(Table2[[#This Row],[CPI_1984_base]]/100)</f>
        <v>2123481509.2297847</v>
      </c>
      <c r="E22" s="20">
        <f>Table2[[#This Row],[real_federal_obligations]]/1000000</f>
        <v>2123.4815092297849</v>
      </c>
      <c r="F22" s="16">
        <f t="shared" si="0"/>
        <v>2188.3623546356675</v>
      </c>
    </row>
    <row r="23" spans="1:11" ht="15.75" customHeight="1" x14ac:dyDescent="0.3">
      <c r="A23" s="17" t="s">
        <v>24</v>
      </c>
      <c r="B23" s="20">
        <v>4543737603</v>
      </c>
      <c r="C23" s="22">
        <v>253.202</v>
      </c>
      <c r="D23" s="20">
        <f>Table2[[#This Row],[total_nominal_federal_obligations]]/(Table2[[#This Row],[CPI_1984_base]]/100)</f>
        <v>1794510945.016232</v>
      </c>
      <c r="E23" s="20">
        <f>Table2[[#This Row],[real_federal_obligations]]/1000000</f>
        <v>1794.510945016232</v>
      </c>
      <c r="F23" s="16">
        <f t="shared" si="0"/>
        <v>1958.9962271230083</v>
      </c>
    </row>
    <row r="24" spans="1:11" ht="15.75" customHeight="1" x14ac:dyDescent="0.3">
      <c r="A24" s="17" t="s">
        <v>25</v>
      </c>
      <c r="B24" s="20">
        <v>4636499639</v>
      </c>
      <c r="C24" s="22">
        <v>254.64599999999999</v>
      </c>
      <c r="D24" s="20">
        <f>Table2[[#This Row],[total_nominal_federal_obligations]]/(Table2[[#This Row],[CPI_1984_base]]/100)</f>
        <v>1820762799.7298212</v>
      </c>
      <c r="E24" s="20">
        <f>Table2[[#This Row],[real_federal_obligations]]/1000000</f>
        <v>1820.7627997298212</v>
      </c>
      <c r="F24" s="16">
        <f t="shared" si="0"/>
        <v>1807.6368723730266</v>
      </c>
    </row>
    <row r="25" spans="1:11" ht="15.75" customHeight="1" x14ac:dyDescent="0.3">
      <c r="A25" s="17" t="s">
        <v>26</v>
      </c>
      <c r="B25" s="20">
        <v>5859413804</v>
      </c>
      <c r="C25" s="22">
        <v>254.64599999999999</v>
      </c>
      <c r="D25" s="20">
        <f>Table2[[#This Row],[total_nominal_federal_obligations]]/(Table2[[#This Row],[CPI_1984_base]]/100)</f>
        <v>2301003669.4077272</v>
      </c>
      <c r="E25" s="20">
        <f>Table2[[#This Row],[real_federal_obligations]]/1000000</f>
        <v>2301.0036694077271</v>
      </c>
      <c r="F25" s="16">
        <f t="shared" si="0"/>
        <v>2060.8832345687742</v>
      </c>
    </row>
    <row r="26" spans="1:11" ht="15.75" customHeight="1" x14ac:dyDescent="0.3">
      <c r="A26" s="17" t="s">
        <v>27</v>
      </c>
      <c r="B26" s="20">
        <v>1830341683</v>
      </c>
      <c r="C26" s="22">
        <v>255.989</v>
      </c>
      <c r="D26" s="20">
        <f>Table2[[#This Row],[total_nominal_federal_obligations]]/(Table2[[#This Row],[CPI_1984_base]]/100)</f>
        <v>715007942.91942227</v>
      </c>
      <c r="E26" s="20">
        <f>Table2[[#This Row],[real_federal_obligations]]/1000000</f>
        <v>715.00794291942225</v>
      </c>
      <c r="F26" s="16">
        <f t="shared" si="0"/>
        <v>1508.0058061635746</v>
      </c>
    </row>
    <row r="27" spans="1:11" ht="15.75" customHeight="1" x14ac:dyDescent="0.3">
      <c r="A27" s="17" t="s">
        <v>28</v>
      </c>
      <c r="B27" s="20">
        <v>1811917729</v>
      </c>
      <c r="C27" s="22">
        <v>255.989</v>
      </c>
      <c r="D27" s="20">
        <f>Table2[[#This Row],[total_nominal_federal_obligations]]/(Table2[[#This Row],[CPI_1984_base]]/100)</f>
        <v>707810776.63493347</v>
      </c>
      <c r="E27" s="20">
        <f>Table2[[#This Row],[real_federal_obligations]]/1000000</f>
        <v>707.81077663493352</v>
      </c>
      <c r="F27" s="16">
        <f t="shared" si="0"/>
        <v>711.40935977717788</v>
      </c>
    </row>
    <row r="28" spans="1:11" ht="15.75" customHeight="1" x14ac:dyDescent="0.3">
      <c r="A28" s="17" t="s">
        <v>29</v>
      </c>
      <c r="B28" s="20">
        <v>2127967020</v>
      </c>
      <c r="C28" s="22">
        <v>259.19</v>
      </c>
      <c r="D28" s="20">
        <f>Table2[[#This Row],[total_nominal_federal_obligations]]/(Table2[[#This Row],[CPI_1984_base]]/100)</f>
        <v>821006605.19310164</v>
      </c>
      <c r="E28" s="20">
        <f>Table2[[#This Row],[real_federal_obligations]]/1000000</f>
        <v>821.00660519310168</v>
      </c>
      <c r="F28" s="16">
        <f t="shared" si="0"/>
        <v>764.4086909140176</v>
      </c>
    </row>
    <row r="29" spans="1:11" ht="15.75" customHeight="1" x14ac:dyDescent="0.3">
      <c r="A29" s="17" t="s">
        <v>30</v>
      </c>
      <c r="B29" s="20">
        <v>3528103129</v>
      </c>
      <c r="C29" s="22">
        <v>259.19</v>
      </c>
      <c r="D29" s="20">
        <f>Table2[[#This Row],[total_nominal_federal_obligations]]/(Table2[[#This Row],[CPI_1984_base]]/100)</f>
        <v>1361203414.0977662</v>
      </c>
      <c r="E29" s="20">
        <f>Table2[[#This Row],[real_federal_obligations]]/1000000</f>
        <v>1361.2034140977662</v>
      </c>
      <c r="F29" s="16">
        <f t="shared" si="0"/>
        <v>1091.1050096454339</v>
      </c>
    </row>
    <row r="30" spans="1:11" ht="15.75" customHeight="1" x14ac:dyDescent="0.3">
      <c r="A30" s="17" t="s">
        <v>31</v>
      </c>
      <c r="B30" s="20">
        <v>2561900913</v>
      </c>
      <c r="C30" s="22">
        <v>257.84800000000001</v>
      </c>
      <c r="D30" s="20">
        <f>Table2[[#This Row],[total_nominal_federal_obligations]]/(Table2[[#This Row],[CPI_1984_base]]/100)</f>
        <v>993570209.19301283</v>
      </c>
      <c r="E30" s="20">
        <f>Table2[[#This Row],[real_federal_obligations]]/1000000</f>
        <v>993.57020919301283</v>
      </c>
      <c r="F30" s="16">
        <f t="shared" si="0"/>
        <v>1177.3868116453896</v>
      </c>
    </row>
    <row r="31" spans="1:11" ht="15.75" customHeight="1" x14ac:dyDescent="0.3">
      <c r="A31" s="17" t="s">
        <v>32</v>
      </c>
      <c r="B31" s="20">
        <v>1899379041</v>
      </c>
      <c r="C31" s="22">
        <v>257.84800000000001</v>
      </c>
      <c r="D31" s="20">
        <f>Table2[[#This Row],[total_nominal_federal_obligations]]/(Table2[[#This Row],[CPI_1984_base]]/100)</f>
        <v>736627408.7834692</v>
      </c>
      <c r="E31" s="20">
        <f>Table2[[#This Row],[real_federal_obligations]]/1000000</f>
        <v>736.62740878346915</v>
      </c>
      <c r="F31" s="16">
        <f t="shared" si="0"/>
        <v>865.09880898824099</v>
      </c>
    </row>
    <row r="32" spans="1:11" ht="15.75" customHeight="1" x14ac:dyDescent="0.3">
      <c r="A32" s="17" t="s">
        <v>33</v>
      </c>
      <c r="B32" s="20">
        <v>2437105090</v>
      </c>
      <c r="C32" s="22">
        <v>262.48200000000003</v>
      </c>
      <c r="D32" s="20">
        <f>Table2[[#This Row],[total_nominal_federal_obligations]]/(Table2[[#This Row],[CPI_1984_base]]/100)</f>
        <v>928484654.1858108</v>
      </c>
      <c r="E32" s="20">
        <f>Table2[[#This Row],[real_federal_obligations]]/1000000</f>
        <v>928.48465418581077</v>
      </c>
      <c r="F32" s="16">
        <f t="shared" si="0"/>
        <v>832.55603148464002</v>
      </c>
    </row>
    <row r="33" spans="1:6" ht="15.75" customHeight="1" x14ac:dyDescent="0.3">
      <c r="A33" s="17" t="s">
        <v>34</v>
      </c>
      <c r="B33" s="20">
        <v>3145634957</v>
      </c>
      <c r="C33" s="22">
        <v>262.48200000000003</v>
      </c>
      <c r="D33" s="20">
        <f>Table2[[#This Row],[total_nominal_federal_obligations]]/(Table2[[#This Row],[CPI_1984_base]]/100)</f>
        <v>1198419303.7998796</v>
      </c>
      <c r="E33" s="20">
        <f>Table2[[#This Row],[real_federal_obligations]]/1000000</f>
        <v>1198.4193037998796</v>
      </c>
      <c r="F33" s="16">
        <f t="shared" si="0"/>
        <v>1063.4519789928452</v>
      </c>
    </row>
    <row r="34" spans="1:6" ht="15.75" customHeight="1" x14ac:dyDescent="0.3">
      <c r="A34" s="17" t="s">
        <v>35</v>
      </c>
      <c r="B34" s="20">
        <v>2624119085</v>
      </c>
      <c r="C34" s="22">
        <v>264.03800000000001</v>
      </c>
      <c r="D34" s="20">
        <f>Table2[[#This Row],[total_nominal_federal_obligations]]/(Table2[[#This Row],[CPI_1984_base]]/100)</f>
        <v>993841448.95810449</v>
      </c>
      <c r="E34" s="20">
        <f>Table2[[#This Row],[real_federal_obligations]]/1000000</f>
        <v>993.84144895810448</v>
      </c>
      <c r="F34" s="16">
        <f t="shared" si="0"/>
        <v>1096.130376378992</v>
      </c>
    </row>
    <row r="35" spans="1:6" ht="15.75" customHeight="1" x14ac:dyDescent="0.3">
      <c r="A35" s="17" t="s">
        <v>36</v>
      </c>
      <c r="B35" s="20">
        <v>2459229506</v>
      </c>
      <c r="C35" s="22">
        <v>264.03800000000001</v>
      </c>
      <c r="D35" s="20">
        <f>Table2[[#This Row],[total_nominal_federal_obligations]]/(Table2[[#This Row],[CPI_1984_base]]/100)</f>
        <v>931392263.99230421</v>
      </c>
      <c r="E35" s="20">
        <f>Table2[[#This Row],[real_federal_obligations]]/1000000</f>
        <v>931.39226399230415</v>
      </c>
      <c r="F35" s="16">
        <f t="shared" ref="F35:F66" si="1">AVERAGE(E34:E35)</f>
        <v>962.61685647520426</v>
      </c>
    </row>
    <row r="36" spans="1:6" ht="15.75" customHeight="1" x14ac:dyDescent="0.3">
      <c r="A36" s="17" t="s">
        <v>37</v>
      </c>
      <c r="B36" s="20">
        <v>2217816565</v>
      </c>
      <c r="C36" s="22">
        <v>266.52800000000002</v>
      </c>
      <c r="D36" s="20">
        <f>Table2[[#This Row],[total_nominal_federal_obligations]]/(Table2[[#This Row],[CPI_1984_base]]/100)</f>
        <v>832113911.10877657</v>
      </c>
      <c r="E36" s="20">
        <f>Table2[[#This Row],[real_federal_obligations]]/1000000</f>
        <v>832.11391110877662</v>
      </c>
      <c r="F36" s="16">
        <f t="shared" si="1"/>
        <v>881.75308755054039</v>
      </c>
    </row>
    <row r="37" spans="1:6" ht="15.75" customHeight="1" x14ac:dyDescent="0.3">
      <c r="A37" s="17" t="s">
        <v>38</v>
      </c>
      <c r="B37" s="20">
        <v>3400093528</v>
      </c>
      <c r="C37" s="22">
        <v>266.52800000000002</v>
      </c>
      <c r="D37" s="20">
        <f>Table2[[#This Row],[total_nominal_federal_obligations]]/(Table2[[#This Row],[CPI_1984_base]]/100)</f>
        <v>1275698436.1868172</v>
      </c>
      <c r="E37" s="20">
        <f>Table2[[#This Row],[real_federal_obligations]]/1000000</f>
        <v>1275.6984361868172</v>
      </c>
      <c r="F37" s="16">
        <f t="shared" si="1"/>
        <v>1053.906173647797</v>
      </c>
    </row>
    <row r="38" spans="1:6" ht="15.75" customHeight="1" x14ac:dyDescent="0.3">
      <c r="A38" s="17" t="s">
        <v>39</v>
      </c>
      <c r="B38" s="20">
        <v>2827719472</v>
      </c>
      <c r="C38" s="22">
        <v>270.738</v>
      </c>
      <c r="D38" s="20">
        <f>Table2[[#This Row],[total_nominal_federal_obligations]]/(Table2[[#This Row],[CPI_1984_base]]/100)</f>
        <v>1044448681.751361</v>
      </c>
      <c r="E38" s="20">
        <f>Table2[[#This Row],[real_federal_obligations]]/1000000</f>
        <v>1044.4486817513609</v>
      </c>
      <c r="F38" s="16">
        <f t="shared" si="1"/>
        <v>1160.0735589690889</v>
      </c>
    </row>
    <row r="39" spans="1:6" ht="15.75" customHeight="1" x14ac:dyDescent="0.3">
      <c r="A39" s="17" t="s">
        <v>40</v>
      </c>
      <c r="B39" s="20">
        <v>2616341880</v>
      </c>
      <c r="C39" s="22">
        <v>270.738</v>
      </c>
      <c r="D39" s="20">
        <f>Table2[[#This Row],[total_nominal_federal_obligations]]/(Table2[[#This Row],[CPI_1984_base]]/100)</f>
        <v>966374088.60226488</v>
      </c>
      <c r="E39" s="20">
        <f>Table2[[#This Row],[real_federal_obligations]]/1000000</f>
        <v>966.37408860226492</v>
      </c>
      <c r="F39" s="16">
        <f t="shared" si="1"/>
        <v>1005.4113851768129</v>
      </c>
    </row>
    <row r="40" spans="1:6" ht="15.75" customHeight="1" x14ac:dyDescent="0.3">
      <c r="A40" s="17" t="s">
        <v>41</v>
      </c>
      <c r="B40" s="20">
        <v>2522792641</v>
      </c>
      <c r="C40" s="22">
        <v>273.29000000000002</v>
      </c>
      <c r="D40" s="20">
        <f>Table2[[#This Row],[total_nominal_federal_obligations]]/(Table2[[#This Row],[CPI_1984_base]]/100)</f>
        <v>923119265.61528039</v>
      </c>
      <c r="E40" s="20">
        <f>Table2[[#This Row],[real_federal_obligations]]/1000000</f>
        <v>923.11926561528037</v>
      </c>
      <c r="F40" s="16">
        <f t="shared" si="1"/>
        <v>944.7466771087727</v>
      </c>
    </row>
    <row r="41" spans="1:6" ht="15.75" customHeight="1" x14ac:dyDescent="0.3">
      <c r="A41" s="17" t="s">
        <v>42</v>
      </c>
      <c r="B41" s="20">
        <v>3643137741</v>
      </c>
      <c r="C41" s="22">
        <v>273.29000000000002</v>
      </c>
      <c r="D41" s="20">
        <f>Table2[[#This Row],[total_nominal_federal_obligations]]/(Table2[[#This Row],[CPI_1984_base]]/100)</f>
        <v>1333066610.9261222</v>
      </c>
      <c r="E41" s="20">
        <f>Table2[[#This Row],[real_federal_obligations]]/1000000</f>
        <v>1333.0666109261222</v>
      </c>
      <c r="F41" s="16">
        <f t="shared" si="1"/>
        <v>1128.0929382707013</v>
      </c>
    </row>
    <row r="42" spans="1:6" ht="15.75" customHeight="1" x14ac:dyDescent="0.3">
      <c r="A42" s="17" t="s">
        <v>43</v>
      </c>
      <c r="B42" s="20">
        <v>2624599581</v>
      </c>
      <c r="C42" s="22">
        <v>275.19600000000003</v>
      </c>
      <c r="D42" s="20">
        <f>Table2[[#This Row],[total_nominal_federal_obligations]]/(Table2[[#This Row],[CPI_1984_base]]/100)</f>
        <v>953720105.30676305</v>
      </c>
      <c r="E42" s="20">
        <f>Table2[[#This Row],[real_federal_obligations]]/1000000</f>
        <v>953.720105306763</v>
      </c>
      <c r="F42" s="16">
        <f t="shared" si="1"/>
        <v>1143.3933581164426</v>
      </c>
    </row>
    <row r="43" spans="1:6" ht="15.75" customHeight="1" x14ac:dyDescent="0.3">
      <c r="A43" s="17" t="s">
        <v>44</v>
      </c>
      <c r="B43" s="20">
        <v>3014501626</v>
      </c>
      <c r="C43" s="22">
        <v>275.19600000000003</v>
      </c>
      <c r="D43" s="20">
        <f>Table2[[#This Row],[total_nominal_federal_obligations]]/(Table2[[#This Row],[CPI_1984_base]]/100)</f>
        <v>1095401686.7977731</v>
      </c>
      <c r="E43" s="20">
        <f>Table2[[#This Row],[real_federal_obligations]]/1000000</f>
        <v>1095.4016867977732</v>
      </c>
      <c r="F43" s="16">
        <f t="shared" si="1"/>
        <v>1024.5608960522682</v>
      </c>
    </row>
    <row r="44" spans="1:6" ht="15.75" customHeight="1" x14ac:dyDescent="0.3">
      <c r="A44" s="17" t="s">
        <v>45</v>
      </c>
      <c r="B44" s="20">
        <v>2946870927</v>
      </c>
      <c r="C44" s="22">
        <v>278.95999999999998</v>
      </c>
      <c r="D44" s="20">
        <f>Table2[[#This Row],[total_nominal_federal_obligations]]/(Table2[[#This Row],[CPI_1984_base]]/100)</f>
        <v>1056377590.6940064</v>
      </c>
      <c r="E44" s="20">
        <f>Table2[[#This Row],[real_federal_obligations]]/1000000</f>
        <v>1056.3775906940064</v>
      </c>
      <c r="F44" s="16">
        <f t="shared" si="1"/>
        <v>1075.8896387458899</v>
      </c>
    </row>
    <row r="45" spans="1:6" ht="15.75" customHeight="1" x14ac:dyDescent="0.3">
      <c r="A45" s="17" t="s">
        <v>46</v>
      </c>
      <c r="B45" s="20">
        <v>3863889597</v>
      </c>
      <c r="C45" s="22">
        <v>278.95999999999998</v>
      </c>
      <c r="D45" s="20">
        <f>Table2[[#This Row],[total_nominal_federal_obligations]]/(Table2[[#This Row],[CPI_1984_base]]/100)</f>
        <v>1385105246.9888158</v>
      </c>
      <c r="E45" s="20">
        <f>Table2[[#This Row],[real_federal_obligations]]/1000000</f>
        <v>1385.1052469888157</v>
      </c>
      <c r="F45" s="16">
        <f t="shared" si="1"/>
        <v>1220.7414188414109</v>
      </c>
    </row>
    <row r="46" spans="1:6" ht="15.75" customHeight="1" x14ac:dyDescent="0.3">
      <c r="A46" s="17" t="s">
        <v>47</v>
      </c>
      <c r="B46" s="20">
        <v>2998341882</v>
      </c>
      <c r="C46" s="22">
        <v>280.666</v>
      </c>
      <c r="D46" s="20">
        <f>Table2[[#This Row],[total_nominal_federal_obligations]]/(Table2[[#This Row],[CPI_1984_base]]/100)</f>
        <v>1068295369.5852009</v>
      </c>
      <c r="E46" s="20">
        <f>Table2[[#This Row],[real_federal_obligations]]/1000000</f>
        <v>1068.2953695852009</v>
      </c>
      <c r="F46" s="16">
        <f t="shared" si="1"/>
        <v>1226.7003082870083</v>
      </c>
    </row>
    <row r="47" spans="1:6" ht="15.75" customHeight="1" x14ac:dyDescent="0.3">
      <c r="A47" s="17" t="s">
        <v>48</v>
      </c>
      <c r="B47" s="20">
        <v>3038905043</v>
      </c>
      <c r="C47" s="22">
        <v>280.666</v>
      </c>
      <c r="D47" s="20">
        <f>Table2[[#This Row],[total_nominal_federal_obligations]]/(Table2[[#This Row],[CPI_1984_base]]/100)</f>
        <v>1082747836.5744338</v>
      </c>
      <c r="E47" s="20">
        <f>Table2[[#This Row],[real_federal_obligations]]/1000000</f>
        <v>1082.7478365744339</v>
      </c>
      <c r="F47" s="16">
        <f t="shared" si="1"/>
        <v>1075.5216030798174</v>
      </c>
    </row>
    <row r="48" spans="1:6" ht="15.75" customHeight="1" x14ac:dyDescent="0.3">
      <c r="A48" s="17" t="s">
        <v>49</v>
      </c>
      <c r="B48" s="20">
        <v>3039474189</v>
      </c>
      <c r="C48" s="22">
        <v>282.50299999999999</v>
      </c>
      <c r="D48" s="20">
        <f>Table2[[#This Row],[total_nominal_federal_obligations]]/(Table2[[#This Row],[CPI_1984_base]]/100)</f>
        <v>1075908641.324163</v>
      </c>
      <c r="E48" s="20">
        <f>Table2[[#This Row],[real_federal_obligations]]/1000000</f>
        <v>1075.908641324163</v>
      </c>
      <c r="F48" s="16">
        <f t="shared" si="1"/>
        <v>1079.3282389492983</v>
      </c>
    </row>
    <row r="49" spans="1:6" ht="15.75" customHeight="1" x14ac:dyDescent="0.3">
      <c r="A49" s="17" t="s">
        <v>50</v>
      </c>
      <c r="B49" s="20">
        <v>3875327584</v>
      </c>
      <c r="C49" s="22">
        <v>282.50299999999999</v>
      </c>
      <c r="D49" s="20">
        <f>Table2[[#This Row],[total_nominal_federal_obligations]]/(Table2[[#This Row],[CPI_1984_base]]/100)</f>
        <v>1371782807.2622237</v>
      </c>
      <c r="E49" s="20">
        <f>Table2[[#This Row],[real_federal_obligations]]/1000000</f>
        <v>1371.7828072622237</v>
      </c>
      <c r="F49" s="16">
        <f t="shared" si="1"/>
        <v>1223.8457242931934</v>
      </c>
    </row>
    <row r="50" spans="1:6" ht="15.75" customHeight="1" x14ac:dyDescent="0.3">
      <c r="A50" s="17" t="s">
        <v>51</v>
      </c>
      <c r="B50" s="20">
        <v>3083366283</v>
      </c>
      <c r="C50" s="22">
        <v>285.08600000000001</v>
      </c>
      <c r="D50" s="20">
        <f>Table2[[#This Row],[total_nominal_federal_obligations]]/(Table2[[#This Row],[CPI_1984_base]]/100)</f>
        <v>1081556541.8856065</v>
      </c>
      <c r="E50" s="20">
        <f>Table2[[#This Row],[real_federal_obligations]]/1000000</f>
        <v>1081.5565418856065</v>
      </c>
      <c r="F50" s="16">
        <f t="shared" si="1"/>
        <v>1226.669674573915</v>
      </c>
    </row>
    <row r="51" spans="1:6" ht="15.75" customHeight="1" x14ac:dyDescent="0.3">
      <c r="A51" s="17" t="s">
        <v>52</v>
      </c>
      <c r="B51" s="20">
        <v>3153034303</v>
      </c>
      <c r="C51" s="22">
        <v>285.08600000000001</v>
      </c>
      <c r="D51" s="20">
        <f>Table2[[#This Row],[total_nominal_federal_obligations]]/(Table2[[#This Row],[CPI_1984_base]]/100)</f>
        <v>1105994087.0474174</v>
      </c>
      <c r="E51" s="20">
        <f>Table2[[#This Row],[real_federal_obligations]]/1000000</f>
        <v>1105.9940870474175</v>
      </c>
      <c r="F51" s="16">
        <f t="shared" si="1"/>
        <v>1093.7753144665121</v>
      </c>
    </row>
    <row r="52" spans="1:6" ht="15.75" customHeight="1" x14ac:dyDescent="0.3">
      <c r="A52" s="17" t="s">
        <v>53</v>
      </c>
      <c r="B52" s="20">
        <v>7862663339</v>
      </c>
      <c r="C52" s="22">
        <v>286.93099999999998</v>
      </c>
      <c r="D52" s="20">
        <f>Table2[[#This Row],[total_nominal_federal_obligations]]/(Table2[[#This Row],[CPI_1984_base]]/100)</f>
        <v>2740262759.6878691</v>
      </c>
      <c r="E52" s="20">
        <f>Table2[[#This Row],[real_federal_obligations]]/1000000</f>
        <v>2740.2627596878692</v>
      </c>
      <c r="F52" s="16">
        <f t="shared" si="1"/>
        <v>1923.1284233676433</v>
      </c>
    </row>
    <row r="53" spans="1:6" ht="15.75" customHeight="1" x14ac:dyDescent="0.3">
      <c r="A53" s="17" t="s">
        <v>54</v>
      </c>
      <c r="B53" s="20">
        <v>4925780685</v>
      </c>
      <c r="C53" s="22">
        <v>286.93099999999998</v>
      </c>
      <c r="D53" s="20">
        <f>Table2[[#This Row],[total_nominal_federal_obligations]]/(Table2[[#This Row],[CPI_1984_base]]/100)</f>
        <v>1716712619.0617256</v>
      </c>
      <c r="E53" s="20">
        <f>Table2[[#This Row],[real_federal_obligations]]/1000000</f>
        <v>1716.7126190617257</v>
      </c>
      <c r="F53" s="16">
        <f t="shared" si="1"/>
        <v>2228.4876893747974</v>
      </c>
    </row>
    <row r="54" spans="1:6" ht="15.75" customHeight="1" x14ac:dyDescent="0.3">
      <c r="A54" s="17" t="s">
        <v>55</v>
      </c>
      <c r="B54" s="20">
        <v>3240527649</v>
      </c>
      <c r="C54" s="22">
        <v>292.47500000000002</v>
      </c>
      <c r="D54" s="20">
        <f>Table2[[#This Row],[total_nominal_federal_obligations]]/(Table2[[#This Row],[CPI_1984_base]]/100)</f>
        <v>1107967398.5810752</v>
      </c>
      <c r="E54" s="20">
        <f>Table2[[#This Row],[real_federal_obligations]]/1000000</f>
        <v>1107.9673985810753</v>
      </c>
      <c r="F54" s="16">
        <f t="shared" si="1"/>
        <v>1412.3400088214005</v>
      </c>
    </row>
    <row r="55" spans="1:6" ht="15.75" customHeight="1" x14ac:dyDescent="0.3">
      <c r="A55" s="17" t="s">
        <v>56</v>
      </c>
      <c r="B55" s="20">
        <v>6009842649</v>
      </c>
      <c r="C55" s="22">
        <v>292.47500000000002</v>
      </c>
      <c r="D55" s="20">
        <f>Table2[[#This Row],[total_nominal_federal_obligations]]/(Table2[[#This Row],[CPI_1984_base]]/100)</f>
        <v>2054822685.3577225</v>
      </c>
      <c r="E55" s="20">
        <f>Table2[[#This Row],[real_federal_obligations]]/1000000</f>
        <v>2054.8226853577225</v>
      </c>
      <c r="F55" s="16">
        <f t="shared" si="1"/>
        <v>1581.3950419693988</v>
      </c>
    </row>
    <row r="56" spans="1:6" ht="15.75" customHeight="1" x14ac:dyDescent="0.3">
      <c r="A56" s="17" t="s">
        <v>57</v>
      </c>
      <c r="B56" s="20">
        <v>7083412429</v>
      </c>
      <c r="C56" s="22">
        <v>301.161</v>
      </c>
      <c r="D56" s="20">
        <f>Table2[[#This Row],[total_nominal_federal_obligations]]/(Table2[[#This Row],[CPI_1984_base]]/100)</f>
        <v>2352035100.4944201</v>
      </c>
      <c r="E56" s="20">
        <f>Table2[[#This Row],[real_federal_obligations]]/1000000</f>
        <v>2352.03510049442</v>
      </c>
      <c r="F56" s="16">
        <f t="shared" si="1"/>
        <v>2203.4288929260711</v>
      </c>
    </row>
    <row r="57" spans="1:6" ht="15.75" customHeight="1" x14ac:dyDescent="0.3">
      <c r="A57" s="17" t="s">
        <v>58</v>
      </c>
      <c r="B57" s="20">
        <v>5224224198</v>
      </c>
      <c r="C57" s="22">
        <v>301.161</v>
      </c>
      <c r="D57" s="20">
        <f>Table2[[#This Row],[total_nominal_federal_obligations]]/(Table2[[#This Row],[CPI_1984_base]]/100)</f>
        <v>1734694797.1350873</v>
      </c>
      <c r="E57" s="20">
        <f>Table2[[#This Row],[real_federal_obligations]]/1000000</f>
        <v>1734.6947971350874</v>
      </c>
      <c r="F57" s="16">
        <f t="shared" si="1"/>
        <v>2043.3649488147537</v>
      </c>
    </row>
    <row r="58" spans="1:6" ht="15.75" customHeight="1" x14ac:dyDescent="0.3">
      <c r="A58" s="17" t="s">
        <v>59</v>
      </c>
      <c r="B58" s="20">
        <v>3603366055</v>
      </c>
      <c r="C58" s="22">
        <v>312.137</v>
      </c>
      <c r="D58" s="20">
        <f>Table2[[#This Row],[total_nominal_federal_obligations]]/(Table2[[#This Row],[CPI_1984_base]]/100)</f>
        <v>1154418109.6761999</v>
      </c>
      <c r="E58" s="20">
        <f>Table2[[#This Row],[real_federal_obligations]]/1000000</f>
        <v>1154.4181096761999</v>
      </c>
      <c r="F58" s="16">
        <f t="shared" si="1"/>
        <v>1444.5564534056437</v>
      </c>
    </row>
    <row r="59" spans="1:6" ht="15.75" customHeight="1" x14ac:dyDescent="0.3">
      <c r="A59" s="17" t="s">
        <v>60</v>
      </c>
      <c r="B59" s="20">
        <v>3993031659</v>
      </c>
      <c r="C59" s="22">
        <v>312.137</v>
      </c>
      <c r="D59" s="20">
        <f>Table2[[#This Row],[total_nominal_federal_obligations]]/(Table2[[#This Row],[CPI_1984_base]]/100)</f>
        <v>1279256114.7829318</v>
      </c>
      <c r="E59" s="20">
        <f>Table2[[#This Row],[real_federal_obligations]]/1000000</f>
        <v>1279.2561147829317</v>
      </c>
      <c r="F59" s="16">
        <f t="shared" si="1"/>
        <v>1216.8371122295657</v>
      </c>
    </row>
    <row r="60" spans="1:6" ht="15.75" customHeight="1" x14ac:dyDescent="0.3">
      <c r="A60" s="17" t="s">
        <v>61</v>
      </c>
      <c r="B60" s="20">
        <v>4207146627</v>
      </c>
      <c r="C60" s="22">
        <v>320.01600000000002</v>
      </c>
      <c r="D60" s="20">
        <f>Table2[[#This Row],[total_nominal_federal_obligations]]/(Table2[[#This Row],[CPI_1984_base]]/100)</f>
        <v>1314667587.5581219</v>
      </c>
      <c r="E60" s="20">
        <f>Table2[[#This Row],[real_federal_obligations]]/1000000</f>
        <v>1314.667587558122</v>
      </c>
      <c r="F60" s="16">
        <f t="shared" si="1"/>
        <v>1296.9618511705269</v>
      </c>
    </row>
    <row r="61" spans="1:6" ht="15.75" customHeight="1" x14ac:dyDescent="0.3">
      <c r="A61" s="17" t="s">
        <v>62</v>
      </c>
      <c r="B61" s="20">
        <v>5422806298</v>
      </c>
      <c r="C61" s="22">
        <v>320.01600000000002</v>
      </c>
      <c r="D61" s="20">
        <f>Table2[[#This Row],[total_nominal_federal_obligations]]/(Table2[[#This Row],[CPI_1984_base]]/100)</f>
        <v>1694542241.0129492</v>
      </c>
      <c r="E61" s="20">
        <f>Table2[[#This Row],[real_federal_obligations]]/1000000</f>
        <v>1694.5422410129493</v>
      </c>
      <c r="F61" s="16">
        <f t="shared" si="1"/>
        <v>1504.6049142855356</v>
      </c>
    </row>
    <row r="62" spans="1:6" ht="15.75" customHeight="1" x14ac:dyDescent="0.3">
      <c r="A62" s="17" t="s">
        <v>63</v>
      </c>
      <c r="B62" s="20">
        <v>3804368155</v>
      </c>
      <c r="C62" s="22">
        <v>322.71800000000002</v>
      </c>
      <c r="D62" s="20">
        <f>Table2[[#This Row],[total_nominal_federal_obligations]]/(Table2[[#This Row],[CPI_1984_base]]/100)</f>
        <v>1178852172.7948239</v>
      </c>
      <c r="E62" s="20">
        <f>Table2[[#This Row],[real_federal_obligations]]/1000000</f>
        <v>1178.8521727948239</v>
      </c>
      <c r="F62" s="16">
        <f t="shared" si="1"/>
        <v>1436.6972069038866</v>
      </c>
    </row>
    <row r="63" spans="1:6" ht="15.75" customHeight="1" x14ac:dyDescent="0.3">
      <c r="A63" s="17" t="s">
        <v>64</v>
      </c>
      <c r="B63" s="20">
        <v>4534130933</v>
      </c>
      <c r="C63" s="22">
        <v>322.71800000000002</v>
      </c>
      <c r="D63" s="20">
        <f>Table2[[#This Row],[total_nominal_federal_obligations]]/(Table2[[#This Row],[CPI_1984_base]]/100)</f>
        <v>1404982347.7463295</v>
      </c>
      <c r="E63" s="20">
        <f>Table2[[#This Row],[real_federal_obligations]]/1000000</f>
        <v>1404.9823477463297</v>
      </c>
      <c r="F63" s="16">
        <f t="shared" si="1"/>
        <v>1291.9172602705767</v>
      </c>
    </row>
    <row r="64" spans="1:6" ht="15.75" customHeight="1" x14ac:dyDescent="0.3">
      <c r="A64" s="17" t="s">
        <v>65</v>
      </c>
      <c r="B64" s="20">
        <v>4311138728</v>
      </c>
      <c r="C64" s="22">
        <v>329.19</v>
      </c>
      <c r="D64" s="20">
        <f>Table2[[#This Row],[total_nominal_federal_obligations]]/(Table2[[#This Row],[CPI_1984_base]]/100)</f>
        <v>1309620197.4543576</v>
      </c>
      <c r="E64" s="20">
        <f>Table2[[#This Row],[real_federal_obligations]]/1000000</f>
        <v>1309.6201974543576</v>
      </c>
      <c r="F64" s="16">
        <f t="shared" si="1"/>
        <v>1357.3012726003435</v>
      </c>
    </row>
    <row r="65" spans="1:6" ht="15.75" customHeight="1" x14ac:dyDescent="0.3">
      <c r="A65" s="17" t="s">
        <v>66</v>
      </c>
      <c r="B65" s="20">
        <v>6180923982</v>
      </c>
      <c r="C65" s="22">
        <v>329.19</v>
      </c>
      <c r="D65" s="20">
        <f>Table2[[#This Row],[total_nominal_federal_obligations]]/(Table2[[#This Row],[CPI_1984_base]]/100)</f>
        <v>1877615960.9951699</v>
      </c>
      <c r="E65" s="20">
        <f>Table2[[#This Row],[real_federal_obligations]]/1000000</f>
        <v>1877.6159609951699</v>
      </c>
      <c r="F65" s="16">
        <f t="shared" si="1"/>
        <v>1593.6180792247637</v>
      </c>
    </row>
    <row r="66" spans="1:6" ht="15.75" customHeight="1" x14ac:dyDescent="0.3">
      <c r="A66" s="17" t="s">
        <v>67</v>
      </c>
      <c r="B66" s="20">
        <v>3814885757</v>
      </c>
      <c r="C66" s="22">
        <v>338.04500000000002</v>
      </c>
      <c r="D66" s="20">
        <f>Table2[[#This Row],[total_nominal_federal_obligations]]/(Table2[[#This Row],[CPI_1984_base]]/100)</f>
        <v>1128514179.1773283</v>
      </c>
      <c r="E66" s="20">
        <f>Table2[[#This Row],[real_federal_obligations]]/1000000</f>
        <v>1128.5141791773283</v>
      </c>
      <c r="F66" s="16">
        <f t="shared" si="1"/>
        <v>1503.0650700862491</v>
      </c>
    </row>
    <row r="67" spans="1:6" ht="15.75" customHeight="1" x14ac:dyDescent="0.3">
      <c r="A67" s="17" t="s">
        <v>68</v>
      </c>
      <c r="B67" s="20">
        <v>5394822337</v>
      </c>
      <c r="C67" s="22">
        <v>338.04500000000002</v>
      </c>
      <c r="D67" s="20">
        <f>Table2[[#This Row],[total_nominal_federal_obligations]]/(Table2[[#This Row],[CPI_1984_base]]/100)</f>
        <v>1595888812.7320325</v>
      </c>
      <c r="E67" s="20">
        <f>Table2[[#This Row],[real_federal_obligations]]/1000000</f>
        <v>1595.8888127320326</v>
      </c>
      <c r="F67" s="16">
        <f t="shared" ref="F67:F71" si="2">AVERAGE(E66:E67)</f>
        <v>1362.2014959546805</v>
      </c>
    </row>
    <row r="68" spans="1:6" ht="15.75" customHeight="1" x14ac:dyDescent="0.3">
      <c r="A68" s="17" t="s">
        <v>69</v>
      </c>
      <c r="B68" s="20">
        <v>5433323023</v>
      </c>
      <c r="C68" s="22">
        <v>342.35</v>
      </c>
      <c r="D68" s="20">
        <f>Table2[[#This Row],[total_nominal_federal_obligations]]/(Table2[[#This Row],[CPI_1984_base]]/100)</f>
        <v>1587066751.2779319</v>
      </c>
      <c r="E68" s="20">
        <f>Table2[[#This Row],[real_federal_obligations]]/1000000</f>
        <v>1587.0667512779319</v>
      </c>
      <c r="F68" s="16">
        <f t="shared" si="2"/>
        <v>1591.4777820049821</v>
      </c>
    </row>
    <row r="69" spans="1:6" ht="15.75" customHeight="1" x14ac:dyDescent="0.3">
      <c r="A69" s="17" t="s">
        <v>70</v>
      </c>
      <c r="B69" s="20">
        <v>7378258389</v>
      </c>
      <c r="C69" s="22">
        <v>342.35</v>
      </c>
      <c r="D69" s="20">
        <f>Table2[[#This Row],[total_nominal_federal_obligations]]/(Table2[[#This Row],[CPI_1984_base]]/100)</f>
        <v>2155179900.3943334</v>
      </c>
      <c r="E69" s="20">
        <f>Table2[[#This Row],[real_federal_obligations]]/1000000</f>
        <v>2155.1799003943333</v>
      </c>
      <c r="F69" s="16">
        <f t="shared" si="2"/>
        <v>1871.1233258361326</v>
      </c>
    </row>
    <row r="70" spans="1:6" ht="15.75" customHeight="1" x14ac:dyDescent="0.3">
      <c r="A70" s="17" t="s">
        <v>71</v>
      </c>
      <c r="B70" s="20">
        <v>4536908224</v>
      </c>
      <c r="C70" s="22">
        <v>347.85700000000003</v>
      </c>
      <c r="D70" s="20">
        <f>Table2[[#This Row],[total_nominal_federal_obligations]]/(Table2[[#This Row],[CPI_1984_base]]/100)</f>
        <v>1304245199.6078846</v>
      </c>
      <c r="E70" s="20">
        <f>Table2[[#This Row],[real_federal_obligations]]/1000000</f>
        <v>1304.2451996078846</v>
      </c>
      <c r="F70" s="16">
        <f t="shared" si="2"/>
        <v>1729.7125500011089</v>
      </c>
    </row>
    <row r="71" spans="1:6" ht="15.75" customHeight="1" x14ac:dyDescent="0.3">
      <c r="A71" s="17" t="s">
        <v>72</v>
      </c>
      <c r="B71" s="20">
        <v>4537882601</v>
      </c>
      <c r="C71" s="22">
        <v>347.85700000000003</v>
      </c>
      <c r="D71" s="20">
        <f>Table2[[#This Row],[total_nominal_federal_obligations]]/(Table2[[#This Row],[CPI_1984_base]]/100)</f>
        <v>1304525308.1007423</v>
      </c>
      <c r="E71" s="20">
        <f>Table2[[#This Row],[real_federal_obligations]]/1000000</f>
        <v>1304.5253081007424</v>
      </c>
      <c r="F71" s="16">
        <f t="shared" si="2"/>
        <v>1304.3852538543135</v>
      </c>
    </row>
    <row r="72" spans="1:6" ht="15.75" customHeight="1" x14ac:dyDescent="0.3"/>
    <row r="73" spans="1:6" ht="15.75" customHeight="1" x14ac:dyDescent="0.3"/>
    <row r="74" spans="1:6" ht="15.75" customHeight="1" x14ac:dyDescent="0.3"/>
    <row r="75" spans="1:6" ht="15.75" customHeight="1" x14ac:dyDescent="0.3"/>
    <row r="76" spans="1:6" ht="15.75" customHeight="1" x14ac:dyDescent="0.3"/>
    <row r="77" spans="1:6" ht="15.75" customHeight="1" x14ac:dyDescent="0.3"/>
    <row r="78" spans="1:6" ht="15.75" customHeight="1" x14ac:dyDescent="0.3"/>
    <row r="79" spans="1:6" ht="15.75" customHeight="1" x14ac:dyDescent="0.3"/>
    <row r="80" spans="1: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282A3-9938-4486-997D-2F9D62D0016C}">
  <dimension ref="A1:E167"/>
  <sheetViews>
    <sheetView tabSelected="1" workbookViewId="0">
      <selection activeCell="E113" sqref="E113"/>
    </sheetView>
  </sheetViews>
  <sheetFormatPr defaultColWidth="9.109375" defaultRowHeight="14.55" x14ac:dyDescent="0.3"/>
  <cols>
    <col min="1" max="1" width="30.5546875" style="12" bestFit="1" customWidth="1"/>
    <col min="2" max="3" width="18.6640625" style="12" customWidth="1"/>
    <col min="4" max="4" width="14.109375" style="12" bestFit="1" customWidth="1"/>
    <col min="5" max="5" width="56.109375" style="12" bestFit="1" customWidth="1"/>
    <col min="6" max="6" width="54.5546875" style="12" customWidth="1"/>
    <col min="7" max="16384" width="9.109375" style="12"/>
  </cols>
  <sheetData>
    <row r="1" spans="1:5" x14ac:dyDescent="0.3">
      <c r="A1" s="9" t="s">
        <v>81</v>
      </c>
      <c r="B1" s="10" t="s">
        <v>80</v>
      </c>
      <c r="C1" s="10" t="s">
        <v>82</v>
      </c>
      <c r="D1" s="10" t="s">
        <v>1</v>
      </c>
      <c r="E1" s="11" t="s">
        <v>83</v>
      </c>
    </row>
    <row r="2" spans="1:5" hidden="1" x14ac:dyDescent="0.3">
      <c r="A2" s="13">
        <v>30682</v>
      </c>
      <c r="B2" s="14">
        <f>YEAR(Table1[[#This Row],[Semiannual Observation_date]])</f>
        <v>1984</v>
      </c>
      <c r="C2" s="14">
        <v>1</v>
      </c>
      <c r="D2" s="15" t="str">
        <f>_xlfn.CONCAT(Table1[[#This Row],[Year]],"Q",Table1[[#This Row],[Quarter]])</f>
        <v>1984Q1</v>
      </c>
      <c r="E2" s="12">
        <v>102.5</v>
      </c>
    </row>
    <row r="3" spans="1:5" hidden="1" x14ac:dyDescent="0.3">
      <c r="A3" s="13">
        <v>30682</v>
      </c>
      <c r="B3" s="14">
        <f>YEAR(Table1[[#This Row],[Semiannual Observation_date]])</f>
        <v>1984</v>
      </c>
      <c r="C3" s="14">
        <v>2</v>
      </c>
      <c r="D3" s="15" t="str">
        <f>_xlfn.CONCAT(Table1[[#This Row],[Year]],"Q",Table1[[#This Row],[Quarter]])</f>
        <v>1984Q2</v>
      </c>
      <c r="E3" s="12">
        <v>102.5</v>
      </c>
    </row>
    <row r="4" spans="1:5" hidden="1" x14ac:dyDescent="0.3">
      <c r="A4" s="13">
        <v>30864</v>
      </c>
      <c r="B4" s="14">
        <f>YEAR(Table1[[#This Row],[Semiannual Observation_date]])</f>
        <v>1984</v>
      </c>
      <c r="C4" s="14">
        <v>3</v>
      </c>
      <c r="D4" s="15" t="str">
        <f>_xlfn.CONCAT(Table1[[#This Row],[Year]],"Q",Table1[[#This Row],[Quarter]])</f>
        <v>1984Q3</v>
      </c>
      <c r="E4" s="12">
        <v>104.4</v>
      </c>
    </row>
    <row r="5" spans="1:5" hidden="1" x14ac:dyDescent="0.3">
      <c r="A5" s="13">
        <v>30864</v>
      </c>
      <c r="B5" s="14">
        <f>YEAR(Table1[[#This Row],[Semiannual Observation_date]])</f>
        <v>1984</v>
      </c>
      <c r="C5" s="14">
        <v>4</v>
      </c>
      <c r="D5" s="15" t="str">
        <f>_xlfn.CONCAT(Table1[[#This Row],[Year]],"Q",Table1[[#This Row],[Quarter]])</f>
        <v>1984Q4</v>
      </c>
      <c r="E5" s="12">
        <v>104.4</v>
      </c>
    </row>
    <row r="6" spans="1:5" hidden="1" x14ac:dyDescent="0.3">
      <c r="A6" s="13">
        <v>31048</v>
      </c>
      <c r="B6" s="14">
        <f>YEAR(Table1[[#This Row],[Semiannual Observation_date]])</f>
        <v>1985</v>
      </c>
      <c r="C6" s="14">
        <v>1</v>
      </c>
      <c r="D6" s="15" t="str">
        <f>_xlfn.CONCAT(Table1[[#This Row],[Year]],"Q",Table1[[#This Row],[Quarter]])</f>
        <v>1985Q1</v>
      </c>
      <c r="E6" s="12">
        <v>106.3</v>
      </c>
    </row>
    <row r="7" spans="1:5" hidden="1" x14ac:dyDescent="0.3">
      <c r="A7" s="13">
        <v>31048</v>
      </c>
      <c r="B7" s="14">
        <f>YEAR(Table1[[#This Row],[Semiannual Observation_date]])</f>
        <v>1985</v>
      </c>
      <c r="C7" s="14">
        <v>2</v>
      </c>
      <c r="D7" s="15" t="str">
        <f>_xlfn.CONCAT(Table1[[#This Row],[Year]],"Q",Table1[[#This Row],[Quarter]])</f>
        <v>1985Q2</v>
      </c>
      <c r="E7" s="12">
        <v>106.3</v>
      </c>
    </row>
    <row r="8" spans="1:5" hidden="1" x14ac:dyDescent="0.3">
      <c r="A8" s="13">
        <v>31229</v>
      </c>
      <c r="B8" s="14">
        <f>YEAR(Table1[[#This Row],[Semiannual Observation_date]])</f>
        <v>1985</v>
      </c>
      <c r="C8" s="14">
        <v>3</v>
      </c>
      <c r="D8" s="15" t="str">
        <f>_xlfn.CONCAT(Table1[[#This Row],[Year]],"Q",Table1[[#This Row],[Quarter]])</f>
        <v>1985Q3</v>
      </c>
      <c r="E8" s="12">
        <v>107.4</v>
      </c>
    </row>
    <row r="9" spans="1:5" hidden="1" x14ac:dyDescent="0.3">
      <c r="A9" s="13">
        <v>31229</v>
      </c>
      <c r="B9" s="14">
        <f>YEAR(Table1[[#This Row],[Semiannual Observation_date]])</f>
        <v>1985</v>
      </c>
      <c r="C9" s="14">
        <v>4</v>
      </c>
      <c r="D9" s="15" t="str">
        <f>_xlfn.CONCAT(Table1[[#This Row],[Year]],"Q",Table1[[#This Row],[Quarter]])</f>
        <v>1985Q4</v>
      </c>
      <c r="E9" s="12">
        <v>107.4</v>
      </c>
    </row>
    <row r="10" spans="1:5" hidden="1" x14ac:dyDescent="0.3">
      <c r="A10" s="13">
        <v>31413</v>
      </c>
      <c r="B10" s="14">
        <f>YEAR(Table1[[#This Row],[Semiannual Observation_date]])</f>
        <v>1986</v>
      </c>
      <c r="C10" s="14">
        <v>1</v>
      </c>
      <c r="D10" s="15" t="str">
        <f>_xlfn.CONCAT(Table1[[#This Row],[Year]],"Q",Table1[[#This Row],[Quarter]])</f>
        <v>1986Q1</v>
      </c>
      <c r="E10" s="12">
        <v>108.9</v>
      </c>
    </row>
    <row r="11" spans="1:5" hidden="1" x14ac:dyDescent="0.3">
      <c r="A11" s="13">
        <v>31413</v>
      </c>
      <c r="B11" s="14">
        <f>YEAR(Table1[[#This Row],[Semiannual Observation_date]])</f>
        <v>1986</v>
      </c>
      <c r="C11" s="14">
        <v>2</v>
      </c>
      <c r="D11" s="15" t="str">
        <f>_xlfn.CONCAT(Table1[[#This Row],[Year]],"Q",Table1[[#This Row],[Quarter]])</f>
        <v>1986Q2</v>
      </c>
      <c r="E11" s="12">
        <v>108.9</v>
      </c>
    </row>
    <row r="12" spans="1:5" hidden="1" x14ac:dyDescent="0.3">
      <c r="A12" s="13">
        <v>31594</v>
      </c>
      <c r="B12" s="14">
        <f>YEAR(Table1[[#This Row],[Semiannual Observation_date]])</f>
        <v>1986</v>
      </c>
      <c r="C12" s="14">
        <v>3</v>
      </c>
      <c r="D12" s="15" t="str">
        <f>_xlfn.CONCAT(Table1[[#This Row],[Year]],"Q",Table1[[#This Row],[Quarter]])</f>
        <v>1986Q3</v>
      </c>
      <c r="E12" s="12">
        <v>109.9</v>
      </c>
    </row>
    <row r="13" spans="1:5" hidden="1" x14ac:dyDescent="0.3">
      <c r="A13" s="13">
        <v>31594</v>
      </c>
      <c r="B13" s="14">
        <f>YEAR(Table1[[#This Row],[Semiannual Observation_date]])</f>
        <v>1986</v>
      </c>
      <c r="C13" s="14">
        <v>4</v>
      </c>
      <c r="D13" s="15" t="str">
        <f>_xlfn.CONCAT(Table1[[#This Row],[Year]],"Q",Table1[[#This Row],[Quarter]])</f>
        <v>1986Q4</v>
      </c>
      <c r="E13" s="12">
        <v>109.9</v>
      </c>
    </row>
    <row r="14" spans="1:5" hidden="1" x14ac:dyDescent="0.3">
      <c r="A14" s="13">
        <v>31778</v>
      </c>
      <c r="B14" s="14">
        <f>YEAR(Table1[[#This Row],[Semiannual Observation_date]])</f>
        <v>1987</v>
      </c>
      <c r="C14" s="14">
        <v>1</v>
      </c>
      <c r="D14" s="15" t="str">
        <f>_xlfn.CONCAT(Table1[[#This Row],[Year]],"Q",Table1[[#This Row],[Quarter]])</f>
        <v>1987Q1</v>
      </c>
      <c r="E14" s="12">
        <v>113.3</v>
      </c>
    </row>
    <row r="15" spans="1:5" hidden="1" x14ac:dyDescent="0.3">
      <c r="A15" s="13">
        <v>31778</v>
      </c>
      <c r="B15" s="14">
        <f>YEAR(Table1[[#This Row],[Semiannual Observation_date]])</f>
        <v>1987</v>
      </c>
      <c r="C15" s="14">
        <v>2</v>
      </c>
      <c r="D15" s="15" t="str">
        <f>_xlfn.CONCAT(Table1[[#This Row],[Year]],"Q",Table1[[#This Row],[Quarter]])</f>
        <v>1987Q2</v>
      </c>
      <c r="E15" s="12">
        <v>113.3</v>
      </c>
    </row>
    <row r="16" spans="1:5" hidden="1" x14ac:dyDescent="0.3">
      <c r="A16" s="13">
        <v>31959</v>
      </c>
      <c r="B16" s="14">
        <f>YEAR(Table1[[#This Row],[Semiannual Observation_date]])</f>
        <v>1987</v>
      </c>
      <c r="C16" s="14">
        <v>3</v>
      </c>
      <c r="D16" s="15" t="str">
        <f>_xlfn.CONCAT(Table1[[#This Row],[Year]],"Q",Table1[[#This Row],[Quarter]])</f>
        <v>1987Q3</v>
      </c>
      <c r="E16" s="12">
        <v>116.5</v>
      </c>
    </row>
    <row r="17" spans="1:5" hidden="1" x14ac:dyDescent="0.3">
      <c r="A17" s="13">
        <v>31959</v>
      </c>
      <c r="B17" s="14">
        <f>YEAR(Table1[[#This Row],[Semiannual Observation_date]])</f>
        <v>1987</v>
      </c>
      <c r="C17" s="14">
        <v>4</v>
      </c>
      <c r="D17" s="15" t="str">
        <f>_xlfn.CONCAT(Table1[[#This Row],[Year]],"Q",Table1[[#This Row],[Quarter]])</f>
        <v>1987Q4</v>
      </c>
      <c r="E17" s="12">
        <v>116.5</v>
      </c>
    </row>
    <row r="18" spans="1:5" hidden="1" x14ac:dyDescent="0.3">
      <c r="A18" s="13">
        <v>32143</v>
      </c>
      <c r="B18" s="14">
        <f>YEAR(Table1[[#This Row],[Semiannual Observation_date]])</f>
        <v>1988</v>
      </c>
      <c r="C18" s="14">
        <v>1</v>
      </c>
      <c r="D18" s="15" t="str">
        <f>_xlfn.CONCAT(Table1[[#This Row],[Year]],"Q",Table1[[#This Row],[Quarter]])</f>
        <v>1988Q1</v>
      </c>
      <c r="E18" s="12">
        <v>120.1</v>
      </c>
    </row>
    <row r="19" spans="1:5" hidden="1" x14ac:dyDescent="0.3">
      <c r="A19" s="13">
        <v>32143</v>
      </c>
      <c r="B19" s="14">
        <f>YEAR(Table1[[#This Row],[Semiannual Observation_date]])</f>
        <v>1988</v>
      </c>
      <c r="C19" s="14">
        <v>2</v>
      </c>
      <c r="D19" s="15" t="str">
        <f>_xlfn.CONCAT(Table1[[#This Row],[Year]],"Q",Table1[[#This Row],[Quarter]])</f>
        <v>1988Q2</v>
      </c>
      <c r="E19" s="12">
        <v>120.1</v>
      </c>
    </row>
    <row r="20" spans="1:5" hidden="1" x14ac:dyDescent="0.3">
      <c r="A20" s="13">
        <v>32325</v>
      </c>
      <c r="B20" s="14">
        <f>YEAR(Table1[[#This Row],[Semiannual Observation_date]])</f>
        <v>1988</v>
      </c>
      <c r="C20" s="14">
        <v>3</v>
      </c>
      <c r="D20" s="15" t="str">
        <f>_xlfn.CONCAT(Table1[[#This Row],[Year]],"Q",Table1[[#This Row],[Quarter]])</f>
        <v>1988Q3</v>
      </c>
      <c r="E20" s="12">
        <v>123.4</v>
      </c>
    </row>
    <row r="21" spans="1:5" hidden="1" x14ac:dyDescent="0.3">
      <c r="A21" s="13">
        <v>32325</v>
      </c>
      <c r="B21" s="14">
        <f>YEAR(Table1[[#This Row],[Semiannual Observation_date]])</f>
        <v>1988</v>
      </c>
      <c r="C21" s="14">
        <v>4</v>
      </c>
      <c r="D21" s="15" t="str">
        <f>_xlfn.CONCAT(Table1[[#This Row],[Year]],"Q",Table1[[#This Row],[Quarter]])</f>
        <v>1988Q4</v>
      </c>
      <c r="E21" s="12">
        <v>123.4</v>
      </c>
    </row>
    <row r="22" spans="1:5" hidden="1" x14ac:dyDescent="0.3">
      <c r="A22" s="13">
        <v>32509</v>
      </c>
      <c r="B22" s="14">
        <f>YEAR(Table1[[#This Row],[Semiannual Observation_date]])</f>
        <v>1989</v>
      </c>
      <c r="C22" s="14">
        <v>1</v>
      </c>
      <c r="D22" s="15" t="str">
        <f>_xlfn.CONCAT(Table1[[#This Row],[Year]],"Q",Table1[[#This Row],[Quarter]])</f>
        <v>1989Q1</v>
      </c>
      <c r="E22" s="12">
        <v>126.4</v>
      </c>
    </row>
    <row r="23" spans="1:5" hidden="1" x14ac:dyDescent="0.3">
      <c r="A23" s="13">
        <v>32509</v>
      </c>
      <c r="B23" s="14">
        <f>YEAR(Table1[[#This Row],[Semiannual Observation_date]])</f>
        <v>1989</v>
      </c>
      <c r="C23" s="14">
        <v>2</v>
      </c>
      <c r="D23" s="15" t="str">
        <f>_xlfn.CONCAT(Table1[[#This Row],[Year]],"Q",Table1[[#This Row],[Quarter]])</f>
        <v>1989Q2</v>
      </c>
      <c r="E23" s="12">
        <v>126.4</v>
      </c>
    </row>
    <row r="24" spans="1:5" hidden="1" x14ac:dyDescent="0.3">
      <c r="A24" s="13">
        <v>32690</v>
      </c>
      <c r="B24" s="14">
        <f>YEAR(Table1[[#This Row],[Semiannual Observation_date]])</f>
        <v>1989</v>
      </c>
      <c r="C24" s="14">
        <v>3</v>
      </c>
      <c r="D24" s="15" t="str">
        <f>_xlfn.CONCAT(Table1[[#This Row],[Year]],"Q",Table1[[#This Row],[Quarter]])</f>
        <v>1989Q3</v>
      </c>
      <c r="E24" s="12">
        <v>131.1</v>
      </c>
    </row>
    <row r="25" spans="1:5" hidden="1" x14ac:dyDescent="0.3">
      <c r="A25" s="13">
        <v>32690</v>
      </c>
      <c r="B25" s="14">
        <f>YEAR(Table1[[#This Row],[Semiannual Observation_date]])</f>
        <v>1989</v>
      </c>
      <c r="C25" s="14">
        <v>4</v>
      </c>
      <c r="D25" s="15" t="str">
        <f>_xlfn.CONCAT(Table1[[#This Row],[Year]],"Q",Table1[[#This Row],[Quarter]])</f>
        <v>1989Q4</v>
      </c>
      <c r="E25" s="12">
        <v>131.1</v>
      </c>
    </row>
    <row r="26" spans="1:5" hidden="1" x14ac:dyDescent="0.3">
      <c r="A26" s="13">
        <v>32874</v>
      </c>
      <c r="B26" s="14">
        <f>YEAR(Table1[[#This Row],[Semiannual Observation_date]])</f>
        <v>1990</v>
      </c>
      <c r="C26" s="14">
        <v>1</v>
      </c>
      <c r="D26" s="15" t="str">
        <f>_xlfn.CONCAT(Table1[[#This Row],[Year]],"Q",Table1[[#This Row],[Quarter]])</f>
        <v>1990Q1</v>
      </c>
      <c r="E26" s="12">
        <v>135.5</v>
      </c>
    </row>
    <row r="27" spans="1:5" hidden="1" x14ac:dyDescent="0.3">
      <c r="A27" s="13">
        <v>32874</v>
      </c>
      <c r="B27" s="14">
        <f>YEAR(Table1[[#This Row],[Semiannual Observation_date]])</f>
        <v>1990</v>
      </c>
      <c r="C27" s="14">
        <v>2</v>
      </c>
      <c r="D27" s="15" t="str">
        <f>_xlfn.CONCAT(Table1[[#This Row],[Year]],"Q",Table1[[#This Row],[Quarter]])</f>
        <v>1990Q2</v>
      </c>
      <c r="E27" s="12">
        <v>135.5</v>
      </c>
    </row>
    <row r="28" spans="1:5" hidden="1" x14ac:dyDescent="0.3">
      <c r="A28" s="13">
        <v>33055</v>
      </c>
      <c r="B28" s="14">
        <f>YEAR(Table1[[#This Row],[Semiannual Observation_date]])</f>
        <v>1990</v>
      </c>
      <c r="C28" s="14">
        <v>3</v>
      </c>
      <c r="D28" s="15" t="str">
        <f>_xlfn.CONCAT(Table1[[#This Row],[Year]],"Q",Table1[[#This Row],[Quarter]])</f>
        <v>1990Q3</v>
      </c>
      <c r="E28" s="12">
        <v>140.80000000000001</v>
      </c>
    </row>
    <row r="29" spans="1:5" hidden="1" x14ac:dyDescent="0.3">
      <c r="A29" s="13">
        <v>33055</v>
      </c>
      <c r="B29" s="14">
        <f>YEAR(Table1[[#This Row],[Semiannual Observation_date]])</f>
        <v>1990</v>
      </c>
      <c r="C29" s="14">
        <v>4</v>
      </c>
      <c r="D29" s="15" t="str">
        <f>_xlfn.CONCAT(Table1[[#This Row],[Year]],"Q",Table1[[#This Row],[Quarter]])</f>
        <v>1990Q4</v>
      </c>
      <c r="E29" s="12">
        <v>140.80000000000001</v>
      </c>
    </row>
    <row r="30" spans="1:5" hidden="1" x14ac:dyDescent="0.3">
      <c r="A30" s="13">
        <v>33239</v>
      </c>
      <c r="B30" s="14">
        <f>YEAR(Table1[[#This Row],[Semiannual Observation_date]])</f>
        <v>1991</v>
      </c>
      <c r="C30" s="14">
        <v>1</v>
      </c>
      <c r="D30" s="15" t="str">
        <f>_xlfn.CONCAT(Table1[[#This Row],[Year]],"Q",Table1[[#This Row],[Quarter]])</f>
        <v>1991Q1</v>
      </c>
      <c r="E30" s="12">
        <v>146.80000000000001</v>
      </c>
    </row>
    <row r="31" spans="1:5" hidden="1" x14ac:dyDescent="0.3">
      <c r="A31" s="13">
        <v>33239</v>
      </c>
      <c r="B31" s="14">
        <f>YEAR(Table1[[#This Row],[Semiannual Observation_date]])</f>
        <v>1991</v>
      </c>
      <c r="C31" s="14">
        <v>2</v>
      </c>
      <c r="D31" s="15" t="str">
        <f>_xlfn.CONCAT(Table1[[#This Row],[Year]],"Q",Table1[[#This Row],[Quarter]])</f>
        <v>1991Q2</v>
      </c>
      <c r="E31" s="12">
        <v>146.80000000000001</v>
      </c>
    </row>
    <row r="32" spans="1:5" hidden="1" x14ac:dyDescent="0.3">
      <c r="A32" s="13">
        <v>33420</v>
      </c>
      <c r="B32" s="14">
        <f>YEAR(Table1[[#This Row],[Semiannual Observation_date]])</f>
        <v>1991</v>
      </c>
      <c r="C32" s="14">
        <v>3</v>
      </c>
      <c r="D32" s="15" t="str">
        <f>_xlfn.CONCAT(Table1[[#This Row],[Year]],"Q",Table1[[#This Row],[Quarter]])</f>
        <v>1991Q3</v>
      </c>
      <c r="E32" s="12">
        <v>149.1</v>
      </c>
    </row>
    <row r="33" spans="1:5" hidden="1" x14ac:dyDescent="0.3">
      <c r="A33" s="13">
        <v>33420</v>
      </c>
      <c r="B33" s="14">
        <f>YEAR(Table1[[#This Row],[Semiannual Observation_date]])</f>
        <v>1991</v>
      </c>
      <c r="C33" s="14">
        <v>4</v>
      </c>
      <c r="D33" s="15" t="str">
        <f>_xlfn.CONCAT(Table1[[#This Row],[Year]],"Q",Table1[[#This Row],[Quarter]])</f>
        <v>1991Q4</v>
      </c>
      <c r="E33" s="12">
        <v>149.1</v>
      </c>
    </row>
    <row r="34" spans="1:5" hidden="1" x14ac:dyDescent="0.3">
      <c r="A34" s="13">
        <v>33604</v>
      </c>
      <c r="B34" s="14">
        <f>YEAR(Table1[[#This Row],[Semiannual Observation_date]])</f>
        <v>1992</v>
      </c>
      <c r="C34" s="14">
        <v>1</v>
      </c>
      <c r="D34" s="15" t="str">
        <f>_xlfn.CONCAT(Table1[[#This Row],[Year]],"Q",Table1[[#This Row],[Quarter]])</f>
        <v>1992Q1</v>
      </c>
      <c r="E34" s="12">
        <v>153.9</v>
      </c>
    </row>
    <row r="35" spans="1:5" hidden="1" x14ac:dyDescent="0.3">
      <c r="A35" s="13">
        <v>33604</v>
      </c>
      <c r="B35" s="14">
        <f>YEAR(Table1[[#This Row],[Semiannual Observation_date]])</f>
        <v>1992</v>
      </c>
      <c r="C35" s="14">
        <v>2</v>
      </c>
      <c r="D35" s="15" t="str">
        <f>_xlfn.CONCAT(Table1[[#This Row],[Year]],"Q",Table1[[#This Row],[Quarter]])</f>
        <v>1992Q2</v>
      </c>
      <c r="E35" s="12">
        <v>153.9</v>
      </c>
    </row>
    <row r="36" spans="1:5" hidden="1" x14ac:dyDescent="0.3">
      <c r="A36" s="13">
        <v>33786</v>
      </c>
      <c r="B36" s="14">
        <f>YEAR(Table1[[#This Row],[Semiannual Observation_date]])</f>
        <v>1992</v>
      </c>
      <c r="C36" s="14">
        <v>3</v>
      </c>
      <c r="D36" s="15" t="str">
        <f>_xlfn.CONCAT(Table1[[#This Row],[Year]],"Q",Table1[[#This Row],[Quarter]])</f>
        <v>1992Q3</v>
      </c>
      <c r="E36" s="12">
        <v>156.4</v>
      </c>
    </row>
    <row r="37" spans="1:5" hidden="1" x14ac:dyDescent="0.3">
      <c r="A37" s="13">
        <v>33786</v>
      </c>
      <c r="B37" s="14">
        <f>YEAR(Table1[[#This Row],[Semiannual Observation_date]])</f>
        <v>1992</v>
      </c>
      <c r="C37" s="14">
        <v>4</v>
      </c>
      <c r="D37" s="15" t="str">
        <f>_xlfn.CONCAT(Table1[[#This Row],[Year]],"Q",Table1[[#This Row],[Quarter]])</f>
        <v>1992Q4</v>
      </c>
      <c r="E37" s="12">
        <v>156.4</v>
      </c>
    </row>
    <row r="38" spans="1:5" hidden="1" x14ac:dyDescent="0.3">
      <c r="A38" s="13">
        <v>33970</v>
      </c>
      <c r="B38" s="14">
        <f>YEAR(Table1[[#This Row],[Semiannual Observation_date]])</f>
        <v>1993</v>
      </c>
      <c r="C38" s="14">
        <v>1</v>
      </c>
      <c r="D38" s="15" t="str">
        <f>_xlfn.CONCAT(Table1[[#This Row],[Year]],"Q",Table1[[#This Row],[Quarter]])</f>
        <v>1993Q1</v>
      </c>
      <c r="E38" s="12">
        <v>158.6</v>
      </c>
    </row>
    <row r="39" spans="1:5" hidden="1" x14ac:dyDescent="0.3">
      <c r="A39" s="13">
        <v>33970</v>
      </c>
      <c r="B39" s="14">
        <f>YEAR(Table1[[#This Row],[Semiannual Observation_date]])</f>
        <v>1993</v>
      </c>
      <c r="C39" s="14">
        <v>2</v>
      </c>
      <c r="D39" s="15" t="str">
        <f>_xlfn.CONCAT(Table1[[#This Row],[Year]],"Q",Table1[[#This Row],[Quarter]])</f>
        <v>1993Q2</v>
      </c>
      <c r="E39" s="12">
        <v>158.6</v>
      </c>
    </row>
    <row r="40" spans="1:5" hidden="1" x14ac:dyDescent="0.3">
      <c r="A40" s="13">
        <v>34151</v>
      </c>
      <c r="B40" s="14">
        <f>YEAR(Table1[[#This Row],[Semiannual Observation_date]])</f>
        <v>1993</v>
      </c>
      <c r="C40" s="14">
        <v>3</v>
      </c>
      <c r="D40" s="15" t="str">
        <f>_xlfn.CONCAT(Table1[[#This Row],[Year]],"Q",Table1[[#This Row],[Quarter]])</f>
        <v>1993Q3</v>
      </c>
      <c r="E40" s="12">
        <v>161.6</v>
      </c>
    </row>
    <row r="41" spans="1:5" hidden="1" x14ac:dyDescent="0.3">
      <c r="A41" s="13">
        <v>34151</v>
      </c>
      <c r="B41" s="14">
        <f>YEAR(Table1[[#This Row],[Semiannual Observation_date]])</f>
        <v>1993</v>
      </c>
      <c r="C41" s="14">
        <v>4</v>
      </c>
      <c r="D41" s="15" t="str">
        <f>_xlfn.CONCAT(Table1[[#This Row],[Year]],"Q",Table1[[#This Row],[Quarter]])</f>
        <v>1993Q4</v>
      </c>
      <c r="E41" s="12">
        <v>161.6</v>
      </c>
    </row>
    <row r="42" spans="1:5" hidden="1" x14ac:dyDescent="0.3">
      <c r="A42" s="13">
        <v>34335</v>
      </c>
      <c r="B42" s="14">
        <f>YEAR(Table1[[#This Row],[Semiannual Observation_date]])</f>
        <v>1994</v>
      </c>
      <c r="C42" s="14">
        <v>1</v>
      </c>
      <c r="D42" s="15" t="str">
        <f>_xlfn.CONCAT(Table1[[#This Row],[Year]],"Q",Table1[[#This Row],[Quarter]])</f>
        <v>1994Q1</v>
      </c>
      <c r="E42" s="12">
        <v>163.4</v>
      </c>
    </row>
    <row r="43" spans="1:5" hidden="1" x14ac:dyDescent="0.3">
      <c r="A43" s="13">
        <v>34335</v>
      </c>
      <c r="B43" s="14">
        <f>YEAR(Table1[[#This Row],[Semiannual Observation_date]])</f>
        <v>1994</v>
      </c>
      <c r="C43" s="14">
        <v>2</v>
      </c>
      <c r="D43" s="15" t="str">
        <f>_xlfn.CONCAT(Table1[[#This Row],[Year]],"Q",Table1[[#This Row],[Quarter]])</f>
        <v>1994Q2</v>
      </c>
      <c r="E43" s="12">
        <v>163.4</v>
      </c>
    </row>
    <row r="44" spans="1:5" hidden="1" x14ac:dyDescent="0.3">
      <c r="A44" s="13">
        <v>34516</v>
      </c>
      <c r="B44" s="14">
        <f>YEAR(Table1[[#This Row],[Semiannual Observation_date]])</f>
        <v>1994</v>
      </c>
      <c r="C44" s="14">
        <v>3</v>
      </c>
      <c r="D44" s="15" t="str">
        <f>_xlfn.CONCAT(Table1[[#This Row],[Year]],"Q",Table1[[#This Row],[Quarter]])</f>
        <v>1994Q3</v>
      </c>
      <c r="E44" s="12">
        <v>165.7</v>
      </c>
    </row>
    <row r="45" spans="1:5" hidden="1" x14ac:dyDescent="0.3">
      <c r="A45" s="13">
        <v>34516</v>
      </c>
      <c r="B45" s="14">
        <f>YEAR(Table1[[#This Row],[Semiannual Observation_date]])</f>
        <v>1994</v>
      </c>
      <c r="C45" s="14">
        <v>4</v>
      </c>
      <c r="D45" s="15" t="str">
        <f>_xlfn.CONCAT(Table1[[#This Row],[Year]],"Q",Table1[[#This Row],[Quarter]])</f>
        <v>1994Q4</v>
      </c>
      <c r="E45" s="12">
        <v>165.7</v>
      </c>
    </row>
    <row r="46" spans="1:5" hidden="1" x14ac:dyDescent="0.3">
      <c r="A46" s="13">
        <v>34700</v>
      </c>
      <c r="B46" s="14">
        <f>YEAR(Table1[[#This Row],[Semiannual Observation_date]])</f>
        <v>1995</v>
      </c>
      <c r="C46" s="14">
        <v>1</v>
      </c>
      <c r="D46" s="15" t="str">
        <f>_xlfn.CONCAT(Table1[[#This Row],[Year]],"Q",Table1[[#This Row],[Quarter]])</f>
        <v>1995Q1</v>
      </c>
      <c r="E46" s="12">
        <v>166.9</v>
      </c>
    </row>
    <row r="47" spans="1:5" hidden="1" x14ac:dyDescent="0.3">
      <c r="A47" s="13">
        <v>34700</v>
      </c>
      <c r="B47" s="14">
        <f>YEAR(Table1[[#This Row],[Semiannual Observation_date]])</f>
        <v>1995</v>
      </c>
      <c r="C47" s="14">
        <v>2</v>
      </c>
      <c r="D47" s="15" t="str">
        <f>_xlfn.CONCAT(Table1[[#This Row],[Year]],"Q",Table1[[#This Row],[Quarter]])</f>
        <v>1995Q2</v>
      </c>
      <c r="E47" s="12">
        <v>166.9</v>
      </c>
    </row>
    <row r="48" spans="1:5" hidden="1" x14ac:dyDescent="0.3">
      <c r="A48" s="13">
        <v>34881</v>
      </c>
      <c r="B48" s="14">
        <f>YEAR(Table1[[#This Row],[Semiannual Observation_date]])</f>
        <v>1995</v>
      </c>
      <c r="C48" s="14">
        <v>3</v>
      </c>
      <c r="D48" s="15" t="str">
        <f>_xlfn.CONCAT(Table1[[#This Row],[Year]],"Q",Table1[[#This Row],[Quarter]])</f>
        <v>1995Q3</v>
      </c>
      <c r="E48" s="12">
        <v>169.4</v>
      </c>
    </row>
    <row r="49" spans="1:5" hidden="1" x14ac:dyDescent="0.3">
      <c r="A49" s="13">
        <v>34881</v>
      </c>
      <c r="B49" s="14">
        <f>YEAR(Table1[[#This Row],[Semiannual Observation_date]])</f>
        <v>1995</v>
      </c>
      <c r="C49" s="14">
        <v>4</v>
      </c>
      <c r="D49" s="15" t="str">
        <f>_xlfn.CONCAT(Table1[[#This Row],[Year]],"Q",Table1[[#This Row],[Quarter]])</f>
        <v>1995Q4</v>
      </c>
      <c r="E49" s="12">
        <v>169.4</v>
      </c>
    </row>
    <row r="50" spans="1:5" hidden="1" x14ac:dyDescent="0.3">
      <c r="A50" s="13">
        <v>35065</v>
      </c>
      <c r="B50" s="14">
        <f>YEAR(Table1[[#This Row],[Semiannual Observation_date]])</f>
        <v>1996</v>
      </c>
      <c r="C50" s="14">
        <v>1</v>
      </c>
      <c r="D50" s="15" t="str">
        <f>_xlfn.CONCAT(Table1[[#This Row],[Year]],"Q",Table1[[#This Row],[Quarter]])</f>
        <v>1996Q1</v>
      </c>
      <c r="E50" s="12">
        <v>170.5</v>
      </c>
    </row>
    <row r="51" spans="1:5" hidden="1" x14ac:dyDescent="0.3">
      <c r="A51" s="13">
        <v>35065</v>
      </c>
      <c r="B51" s="14">
        <f>YEAR(Table1[[#This Row],[Semiannual Observation_date]])</f>
        <v>1996</v>
      </c>
      <c r="C51" s="14">
        <v>2</v>
      </c>
      <c r="D51" s="15" t="str">
        <f>_xlfn.CONCAT(Table1[[#This Row],[Year]],"Q",Table1[[#This Row],[Quarter]])</f>
        <v>1996Q2</v>
      </c>
      <c r="E51" s="12">
        <v>170.5</v>
      </c>
    </row>
    <row r="52" spans="1:5" hidden="1" x14ac:dyDescent="0.3">
      <c r="A52" s="13">
        <v>35247</v>
      </c>
      <c r="B52" s="14">
        <f>YEAR(Table1[[#This Row],[Semiannual Observation_date]])</f>
        <v>1996</v>
      </c>
      <c r="C52" s="14">
        <v>3</v>
      </c>
      <c r="D52" s="15" t="str">
        <f>_xlfn.CONCAT(Table1[[#This Row],[Year]],"Q",Table1[[#This Row],[Quarter]])</f>
        <v>1996Q3</v>
      </c>
      <c r="E52" s="12">
        <v>171</v>
      </c>
    </row>
    <row r="53" spans="1:5" hidden="1" x14ac:dyDescent="0.3">
      <c r="A53" s="13">
        <v>35247</v>
      </c>
      <c r="B53" s="14">
        <f>YEAR(Table1[[#This Row],[Semiannual Observation_date]])</f>
        <v>1996</v>
      </c>
      <c r="C53" s="14">
        <v>4</v>
      </c>
      <c r="D53" s="15" t="str">
        <f>_xlfn.CONCAT(Table1[[#This Row],[Year]],"Q",Table1[[#This Row],[Quarter]])</f>
        <v>1996Q4</v>
      </c>
      <c r="E53" s="12">
        <v>171</v>
      </c>
    </row>
    <row r="54" spans="1:5" hidden="1" x14ac:dyDescent="0.3">
      <c r="A54" s="13">
        <v>35431</v>
      </c>
      <c r="B54" s="14">
        <f>YEAR(Table1[[#This Row],[Semiannual Observation_date]])</f>
        <v>1997</v>
      </c>
      <c r="C54" s="14">
        <v>1</v>
      </c>
      <c r="D54" s="15" t="str">
        <f>_xlfn.CONCAT(Table1[[#This Row],[Year]],"Q",Table1[[#This Row],[Quarter]])</f>
        <v>1997Q1</v>
      </c>
      <c r="E54" s="12">
        <v>172.1</v>
      </c>
    </row>
    <row r="55" spans="1:5" hidden="1" x14ac:dyDescent="0.3">
      <c r="A55" s="13">
        <v>35431</v>
      </c>
      <c r="B55" s="14">
        <f>YEAR(Table1[[#This Row],[Semiannual Observation_date]])</f>
        <v>1997</v>
      </c>
      <c r="C55" s="14">
        <v>2</v>
      </c>
      <c r="D55" s="15" t="str">
        <f>_xlfn.CONCAT(Table1[[#This Row],[Year]],"Q",Table1[[#This Row],[Quarter]])</f>
        <v>1997Q2</v>
      </c>
      <c r="E55" s="12">
        <v>172.1</v>
      </c>
    </row>
    <row r="56" spans="1:5" hidden="1" x14ac:dyDescent="0.3">
      <c r="A56" s="13">
        <v>35612</v>
      </c>
      <c r="B56" s="14">
        <f>YEAR(Table1[[#This Row],[Semiannual Observation_date]])</f>
        <v>1997</v>
      </c>
      <c r="C56" s="14">
        <v>3</v>
      </c>
      <c r="D56" s="15" t="str">
        <f>_xlfn.CONCAT(Table1[[#This Row],[Year]],"Q",Table1[[#This Row],[Quarter]])</f>
        <v>1997Q3</v>
      </c>
      <c r="E56" s="12">
        <v>171.8</v>
      </c>
    </row>
    <row r="57" spans="1:5" hidden="1" x14ac:dyDescent="0.3">
      <c r="A57" s="13">
        <v>35612</v>
      </c>
      <c r="B57" s="14">
        <f>YEAR(Table1[[#This Row],[Semiannual Observation_date]])</f>
        <v>1997</v>
      </c>
      <c r="C57" s="14">
        <v>4</v>
      </c>
      <c r="D57" s="15" t="str">
        <f>_xlfn.CONCAT(Table1[[#This Row],[Year]],"Q",Table1[[#This Row],[Quarter]])</f>
        <v>1997Q4</v>
      </c>
      <c r="E57" s="12">
        <v>171.8</v>
      </c>
    </row>
    <row r="58" spans="1:5" hidden="1" x14ac:dyDescent="0.3">
      <c r="A58" s="13">
        <v>35796</v>
      </c>
      <c r="B58" s="14">
        <f>YEAR(Table1[[#This Row],[Semiannual Observation_date]])</f>
        <v>1998</v>
      </c>
      <c r="C58" s="14">
        <v>1</v>
      </c>
      <c r="D58" s="15" t="str">
        <f>_xlfn.CONCAT(Table1[[#This Row],[Year]],"Q",Table1[[#This Row],[Quarter]])</f>
        <v>1998Q1</v>
      </c>
      <c r="E58" s="12">
        <v>172</v>
      </c>
    </row>
    <row r="59" spans="1:5" hidden="1" x14ac:dyDescent="0.3">
      <c r="A59" s="13">
        <v>35796</v>
      </c>
      <c r="B59" s="14">
        <f>YEAR(Table1[[#This Row],[Semiannual Observation_date]])</f>
        <v>1998</v>
      </c>
      <c r="C59" s="14">
        <v>2</v>
      </c>
      <c r="D59" s="15" t="str">
        <f>_xlfn.CONCAT(Table1[[#This Row],[Year]],"Q",Table1[[#This Row],[Quarter]])</f>
        <v>1998Q2</v>
      </c>
      <c r="E59" s="12">
        <v>172</v>
      </c>
    </row>
    <row r="60" spans="1:5" hidden="1" x14ac:dyDescent="0.3">
      <c r="A60" s="13">
        <v>35977</v>
      </c>
      <c r="B60" s="14">
        <f>YEAR(Table1[[#This Row],[Semiannual Observation_date]])</f>
        <v>1998</v>
      </c>
      <c r="C60" s="14">
        <v>3</v>
      </c>
      <c r="D60" s="15" t="str">
        <f>_xlfn.CONCAT(Table1[[#This Row],[Year]],"Q",Table1[[#This Row],[Quarter]])</f>
        <v>1998Q3</v>
      </c>
      <c r="E60" s="12">
        <v>171</v>
      </c>
    </row>
    <row r="61" spans="1:5" hidden="1" x14ac:dyDescent="0.3">
      <c r="A61" s="13">
        <v>35977</v>
      </c>
      <c r="B61" s="14">
        <f>YEAR(Table1[[#This Row],[Semiannual Observation_date]])</f>
        <v>1998</v>
      </c>
      <c r="C61" s="14">
        <v>4</v>
      </c>
      <c r="D61" s="15" t="str">
        <f>_xlfn.CONCAT(Table1[[#This Row],[Year]],"Q",Table1[[#This Row],[Quarter]])</f>
        <v>1998Q4</v>
      </c>
      <c r="E61" s="12">
        <v>171</v>
      </c>
    </row>
    <row r="62" spans="1:5" hidden="1" x14ac:dyDescent="0.3">
      <c r="A62" s="13">
        <v>36161</v>
      </c>
      <c r="B62" s="14">
        <f>YEAR(Table1[[#This Row],[Semiannual Observation_date]])</f>
        <v>1999</v>
      </c>
      <c r="C62" s="14">
        <v>1</v>
      </c>
      <c r="D62" s="15" t="str">
        <f>_xlfn.CONCAT(Table1[[#This Row],[Year]],"Q",Table1[[#This Row],[Quarter]])</f>
        <v>1999Q1</v>
      </c>
      <c r="E62" s="12">
        <v>172.7</v>
      </c>
    </row>
    <row r="63" spans="1:5" hidden="1" x14ac:dyDescent="0.3">
      <c r="A63" s="13">
        <v>36161</v>
      </c>
      <c r="B63" s="14">
        <f>YEAR(Table1[[#This Row],[Semiannual Observation_date]])</f>
        <v>1999</v>
      </c>
      <c r="C63" s="14">
        <v>2</v>
      </c>
      <c r="D63" s="15" t="str">
        <f>_xlfn.CONCAT(Table1[[#This Row],[Year]],"Q",Table1[[#This Row],[Quarter]])</f>
        <v>1999Q2</v>
      </c>
      <c r="E63" s="12">
        <v>172.7</v>
      </c>
    </row>
    <row r="64" spans="1:5" hidden="1" x14ac:dyDescent="0.3">
      <c r="A64" s="13">
        <v>36342</v>
      </c>
      <c r="B64" s="14">
        <f>YEAR(Table1[[#This Row],[Semiannual Observation_date]])</f>
        <v>1999</v>
      </c>
      <c r="C64" s="14">
        <v>3</v>
      </c>
      <c r="D64" s="15" t="str">
        <f>_xlfn.CONCAT(Table1[[#This Row],[Year]],"Q",Table1[[#This Row],[Quarter]])</f>
        <v>1999Q3</v>
      </c>
      <c r="E64" s="12">
        <v>173.8</v>
      </c>
    </row>
    <row r="65" spans="1:5" hidden="1" x14ac:dyDescent="0.3">
      <c r="A65" s="13">
        <v>36342</v>
      </c>
      <c r="B65" s="14">
        <f>YEAR(Table1[[#This Row],[Semiannual Observation_date]])</f>
        <v>1999</v>
      </c>
      <c r="C65" s="14">
        <v>4</v>
      </c>
      <c r="D65" s="15" t="str">
        <f>_xlfn.CONCAT(Table1[[#This Row],[Year]],"Q",Table1[[#This Row],[Quarter]])</f>
        <v>1999Q4</v>
      </c>
      <c r="E65" s="12">
        <v>173.8</v>
      </c>
    </row>
    <row r="66" spans="1:5" hidden="1" x14ac:dyDescent="0.3">
      <c r="A66" s="13">
        <v>36526</v>
      </c>
      <c r="B66" s="14">
        <f>YEAR(Table1[[#This Row],[Semiannual Observation_date]])</f>
        <v>2000</v>
      </c>
      <c r="C66" s="14">
        <v>1</v>
      </c>
      <c r="D66" s="15" t="str">
        <f>_xlfn.CONCAT(Table1[[#This Row],[Year]],"Q",Table1[[#This Row],[Quarter]])</f>
        <v>2000Q1</v>
      </c>
      <c r="E66" s="12">
        <v>175.9</v>
      </c>
    </row>
    <row r="67" spans="1:5" hidden="1" x14ac:dyDescent="0.3">
      <c r="A67" s="13">
        <v>36526</v>
      </c>
      <c r="B67" s="14">
        <f>YEAR(Table1[[#This Row],[Semiannual Observation_date]])</f>
        <v>2000</v>
      </c>
      <c r="C67" s="14">
        <v>2</v>
      </c>
      <c r="D67" s="15" t="str">
        <f>_xlfn.CONCAT(Table1[[#This Row],[Year]],"Q",Table1[[#This Row],[Quarter]])</f>
        <v>2000Q2</v>
      </c>
      <c r="E67" s="12">
        <v>175.9</v>
      </c>
    </row>
    <row r="68" spans="1:5" hidden="1" x14ac:dyDescent="0.3">
      <c r="A68" s="13">
        <v>36708</v>
      </c>
      <c r="B68" s="14">
        <f>YEAR(Table1[[#This Row],[Semiannual Observation_date]])</f>
        <v>2000</v>
      </c>
      <c r="C68" s="14">
        <v>3</v>
      </c>
      <c r="D68" s="15" t="str">
        <f>_xlfn.CONCAT(Table1[[#This Row],[Year]],"Q",Table1[[#This Row],[Quarter]])</f>
        <v>2000Q3</v>
      </c>
      <c r="E68" s="12">
        <v>176.7</v>
      </c>
    </row>
    <row r="69" spans="1:5" hidden="1" x14ac:dyDescent="0.3">
      <c r="A69" s="13">
        <v>36708</v>
      </c>
      <c r="B69" s="14">
        <f>YEAR(Table1[[#This Row],[Semiannual Observation_date]])</f>
        <v>2000</v>
      </c>
      <c r="C69" s="14">
        <v>4</v>
      </c>
      <c r="D69" s="15" t="str">
        <f>_xlfn.CONCAT(Table1[[#This Row],[Year]],"Q",Table1[[#This Row],[Quarter]])</f>
        <v>2000Q4</v>
      </c>
      <c r="E69" s="12">
        <v>176.7</v>
      </c>
    </row>
    <row r="70" spans="1:5" hidden="1" x14ac:dyDescent="0.3">
      <c r="A70" s="13">
        <v>36892</v>
      </c>
      <c r="B70" s="14">
        <f>YEAR(Table1[[#This Row],[Semiannual Observation_date]])</f>
        <v>2001</v>
      </c>
      <c r="C70" s="14">
        <v>1</v>
      </c>
      <c r="D70" s="15" t="str">
        <f>_xlfn.CONCAT(Table1[[#This Row],[Year]],"Q",Table1[[#This Row],[Quarter]])</f>
        <v>2001Q1</v>
      </c>
      <c r="E70" s="12">
        <v>178.1</v>
      </c>
    </row>
    <row r="71" spans="1:5" hidden="1" x14ac:dyDescent="0.3">
      <c r="A71" s="13">
        <v>36892</v>
      </c>
      <c r="B71" s="14">
        <f>YEAR(Table1[[#This Row],[Semiannual Observation_date]])</f>
        <v>2001</v>
      </c>
      <c r="C71" s="14">
        <v>2</v>
      </c>
      <c r="D71" s="15" t="str">
        <f>_xlfn.CONCAT(Table1[[#This Row],[Year]],"Q",Table1[[#This Row],[Quarter]])</f>
        <v>2001Q2</v>
      </c>
      <c r="E71" s="12">
        <v>178.1</v>
      </c>
    </row>
    <row r="72" spans="1:5" hidden="1" x14ac:dyDescent="0.3">
      <c r="A72" s="13">
        <v>37073</v>
      </c>
      <c r="B72" s="14">
        <f>YEAR(Table1[[#This Row],[Semiannual Observation_date]])</f>
        <v>2001</v>
      </c>
      <c r="C72" s="14">
        <v>3</v>
      </c>
      <c r="D72" s="15" t="str">
        <f>_xlfn.CONCAT(Table1[[#This Row],[Year]],"Q",Table1[[#This Row],[Quarter]])</f>
        <v>2001Q3</v>
      </c>
      <c r="E72" s="12">
        <v>178.7</v>
      </c>
    </row>
    <row r="73" spans="1:5" hidden="1" x14ac:dyDescent="0.3">
      <c r="A73" s="13">
        <v>37073</v>
      </c>
      <c r="B73" s="14">
        <f>YEAR(Table1[[#This Row],[Semiannual Observation_date]])</f>
        <v>2001</v>
      </c>
      <c r="C73" s="14">
        <v>4</v>
      </c>
      <c r="D73" s="15" t="str">
        <f>_xlfn.CONCAT(Table1[[#This Row],[Year]],"Q",Table1[[#This Row],[Quarter]])</f>
        <v>2001Q4</v>
      </c>
      <c r="E73" s="12">
        <v>178.7</v>
      </c>
    </row>
    <row r="74" spans="1:5" hidden="1" x14ac:dyDescent="0.3">
      <c r="A74" s="13">
        <v>37257</v>
      </c>
      <c r="B74" s="14">
        <f>YEAR(Table1[[#This Row],[Semiannual Observation_date]])</f>
        <v>2002</v>
      </c>
      <c r="C74" s="14">
        <v>1</v>
      </c>
      <c r="D74" s="15" t="str">
        <f>_xlfn.CONCAT(Table1[[#This Row],[Year]],"Q",Table1[[#This Row],[Quarter]])</f>
        <v>2002Q1</v>
      </c>
      <c r="E74" s="12">
        <v>180.1</v>
      </c>
    </row>
    <row r="75" spans="1:5" hidden="1" x14ac:dyDescent="0.3">
      <c r="A75" s="13">
        <v>37257</v>
      </c>
      <c r="B75" s="14">
        <f>YEAR(Table1[[#This Row],[Semiannual Observation_date]])</f>
        <v>2002</v>
      </c>
      <c r="C75" s="14">
        <v>2</v>
      </c>
      <c r="D75" s="15" t="str">
        <f>_xlfn.CONCAT(Table1[[#This Row],[Year]],"Q",Table1[[#This Row],[Quarter]])</f>
        <v>2002Q2</v>
      </c>
      <c r="E75" s="12">
        <v>180.1</v>
      </c>
    </row>
    <row r="76" spans="1:5" hidden="1" x14ac:dyDescent="0.3">
      <c r="A76" s="13">
        <v>37438</v>
      </c>
      <c r="B76" s="14">
        <f>YEAR(Table1[[#This Row],[Semiannual Observation_date]])</f>
        <v>2002</v>
      </c>
      <c r="C76" s="14">
        <v>3</v>
      </c>
      <c r="D76" s="15" t="str">
        <f>_xlfn.CONCAT(Table1[[#This Row],[Year]],"Q",Table1[[#This Row],[Quarter]])</f>
        <v>2002Q3</v>
      </c>
      <c r="E76" s="12">
        <v>180.4</v>
      </c>
    </row>
    <row r="77" spans="1:5" hidden="1" x14ac:dyDescent="0.3">
      <c r="A77" s="13">
        <v>37438</v>
      </c>
      <c r="B77" s="14">
        <f>YEAR(Table1[[#This Row],[Semiannual Observation_date]])</f>
        <v>2002</v>
      </c>
      <c r="C77" s="14">
        <v>4</v>
      </c>
      <c r="D77" s="15" t="str">
        <f>_xlfn.CONCAT(Table1[[#This Row],[Year]],"Q",Table1[[#This Row],[Quarter]])</f>
        <v>2002Q4</v>
      </c>
      <c r="E77" s="12">
        <v>180.4</v>
      </c>
    </row>
    <row r="78" spans="1:5" hidden="1" x14ac:dyDescent="0.3">
      <c r="A78" s="13">
        <v>37622</v>
      </c>
      <c r="B78" s="14">
        <f>YEAR(Table1[[#This Row],[Semiannual Observation_date]])</f>
        <v>2003</v>
      </c>
      <c r="C78" s="14">
        <v>1</v>
      </c>
      <c r="D78" s="15" t="str">
        <f>_xlfn.CONCAT(Table1[[#This Row],[Year]],"Q",Table1[[#This Row],[Quarter]])</f>
        <v>2003Q1</v>
      </c>
      <c r="E78" s="12">
        <v>183.2</v>
      </c>
    </row>
    <row r="79" spans="1:5" hidden="1" x14ac:dyDescent="0.3">
      <c r="A79" s="13">
        <v>37622</v>
      </c>
      <c r="B79" s="14">
        <f>YEAR(Table1[[#This Row],[Semiannual Observation_date]])</f>
        <v>2003</v>
      </c>
      <c r="C79" s="14">
        <v>2</v>
      </c>
      <c r="D79" s="15" t="str">
        <f>_xlfn.CONCAT(Table1[[#This Row],[Year]],"Q",Table1[[#This Row],[Quarter]])</f>
        <v>2003Q2</v>
      </c>
      <c r="E79" s="12">
        <v>183.2</v>
      </c>
    </row>
    <row r="80" spans="1:5" hidden="1" x14ac:dyDescent="0.3">
      <c r="A80" s="13">
        <v>37803</v>
      </c>
      <c r="B80" s="14">
        <f>YEAR(Table1[[#This Row],[Semiannual Observation_date]])</f>
        <v>2003</v>
      </c>
      <c r="C80" s="14">
        <v>3</v>
      </c>
      <c r="D80" s="15" t="str">
        <f>_xlfn.CONCAT(Table1[[#This Row],[Year]],"Q",Table1[[#This Row],[Quarter]])</f>
        <v>2003Q3</v>
      </c>
      <c r="E80" s="12">
        <v>185.7</v>
      </c>
    </row>
    <row r="81" spans="1:5" hidden="1" x14ac:dyDescent="0.3">
      <c r="A81" s="13">
        <v>37803</v>
      </c>
      <c r="B81" s="14">
        <f>YEAR(Table1[[#This Row],[Semiannual Observation_date]])</f>
        <v>2003</v>
      </c>
      <c r="C81" s="14">
        <v>4</v>
      </c>
      <c r="D81" s="15" t="str">
        <f>_xlfn.CONCAT(Table1[[#This Row],[Year]],"Q",Table1[[#This Row],[Quarter]])</f>
        <v>2003Q4</v>
      </c>
      <c r="E81" s="12">
        <v>185.7</v>
      </c>
    </row>
    <row r="82" spans="1:5" hidden="1" x14ac:dyDescent="0.3">
      <c r="A82" s="13">
        <v>37987</v>
      </c>
      <c r="B82" s="14">
        <f>YEAR(Table1[[#This Row],[Semiannual Observation_date]])</f>
        <v>2004</v>
      </c>
      <c r="C82" s="14">
        <v>1</v>
      </c>
      <c r="D82" s="15" t="str">
        <f>_xlfn.CONCAT(Table1[[#This Row],[Year]],"Q",Table1[[#This Row],[Quarter]])</f>
        <v>2004Q1</v>
      </c>
      <c r="E82" s="12">
        <v>189.2</v>
      </c>
    </row>
    <row r="83" spans="1:5" hidden="1" x14ac:dyDescent="0.3">
      <c r="A83" s="13">
        <v>37987</v>
      </c>
      <c r="B83" s="14">
        <f>YEAR(Table1[[#This Row],[Semiannual Observation_date]])</f>
        <v>2004</v>
      </c>
      <c r="C83" s="14">
        <v>2</v>
      </c>
      <c r="D83" s="15" t="str">
        <f>_xlfn.CONCAT(Table1[[#This Row],[Year]],"Q",Table1[[#This Row],[Quarter]])</f>
        <v>2004Q2</v>
      </c>
      <c r="E83" s="12">
        <v>189.2</v>
      </c>
    </row>
    <row r="84" spans="1:5" hidden="1" x14ac:dyDescent="0.3">
      <c r="A84" s="13">
        <v>38169</v>
      </c>
      <c r="B84" s="14">
        <f>YEAR(Table1[[#This Row],[Semiannual Observation_date]])</f>
        <v>2004</v>
      </c>
      <c r="C84" s="14">
        <v>3</v>
      </c>
      <c r="D84" s="15" t="str">
        <f>_xlfn.CONCAT(Table1[[#This Row],[Year]],"Q",Table1[[#This Row],[Quarter]])</f>
        <v>2004Q3</v>
      </c>
      <c r="E84" s="12">
        <v>191.9</v>
      </c>
    </row>
    <row r="85" spans="1:5" hidden="1" x14ac:dyDescent="0.3">
      <c r="A85" s="13">
        <v>38169</v>
      </c>
      <c r="B85" s="14">
        <f>YEAR(Table1[[#This Row],[Semiannual Observation_date]])</f>
        <v>2004</v>
      </c>
      <c r="C85" s="14">
        <v>4</v>
      </c>
      <c r="D85" s="15" t="str">
        <f>_xlfn.CONCAT(Table1[[#This Row],[Year]],"Q",Table1[[#This Row],[Quarter]])</f>
        <v>2004Q4</v>
      </c>
      <c r="E85" s="12">
        <v>191.9</v>
      </c>
    </row>
    <row r="86" spans="1:5" hidden="1" x14ac:dyDescent="0.3">
      <c r="A86" s="13">
        <v>38353</v>
      </c>
      <c r="B86" s="14">
        <f>YEAR(Table1[[#This Row],[Semiannual Observation_date]])</f>
        <v>2005</v>
      </c>
      <c r="C86" s="14">
        <v>1</v>
      </c>
      <c r="D86" s="15" t="str">
        <f>_xlfn.CONCAT(Table1[[#This Row],[Year]],"Q",Table1[[#This Row],[Quarter]])</f>
        <v>2005Q1</v>
      </c>
      <c r="E86" s="12">
        <v>195</v>
      </c>
    </row>
    <row r="87" spans="1:5" hidden="1" x14ac:dyDescent="0.3">
      <c r="A87" s="13">
        <v>38353</v>
      </c>
      <c r="B87" s="14">
        <f>YEAR(Table1[[#This Row],[Semiannual Observation_date]])</f>
        <v>2005</v>
      </c>
      <c r="C87" s="14">
        <v>2</v>
      </c>
      <c r="D87" s="15" t="str">
        <f>_xlfn.CONCAT(Table1[[#This Row],[Year]],"Q",Table1[[#This Row],[Quarter]])</f>
        <v>2005Q2</v>
      </c>
      <c r="E87" s="12">
        <v>195</v>
      </c>
    </row>
    <row r="88" spans="1:5" hidden="1" x14ac:dyDescent="0.3">
      <c r="A88" s="13">
        <v>38534</v>
      </c>
      <c r="B88" s="14">
        <f>YEAR(Table1[[#This Row],[Semiannual Observation_date]])</f>
        <v>2005</v>
      </c>
      <c r="C88" s="14">
        <v>3</v>
      </c>
      <c r="D88" s="15" t="str">
        <f>_xlfn.CONCAT(Table1[[#This Row],[Year]],"Q",Table1[[#This Row],[Quarter]])</f>
        <v>2005Q3</v>
      </c>
      <c r="E88" s="12">
        <v>200.6</v>
      </c>
    </row>
    <row r="89" spans="1:5" hidden="1" x14ac:dyDescent="0.3">
      <c r="A89" s="13">
        <v>38534</v>
      </c>
      <c r="B89" s="14">
        <f>YEAR(Table1[[#This Row],[Semiannual Observation_date]])</f>
        <v>2005</v>
      </c>
      <c r="C89" s="14">
        <v>4</v>
      </c>
      <c r="D89" s="15" t="str">
        <f>_xlfn.CONCAT(Table1[[#This Row],[Year]],"Q",Table1[[#This Row],[Quarter]])</f>
        <v>2005Q4</v>
      </c>
      <c r="E89" s="12">
        <v>200.6</v>
      </c>
    </row>
    <row r="90" spans="1:5" hidden="1" x14ac:dyDescent="0.3">
      <c r="A90" s="13">
        <v>38718</v>
      </c>
      <c r="B90" s="14">
        <f>YEAR(Table1[[#This Row],[Semiannual Observation_date]])</f>
        <v>2006</v>
      </c>
      <c r="C90" s="14">
        <v>1</v>
      </c>
      <c r="D90" s="15" t="str">
        <f>_xlfn.CONCAT(Table1[[#This Row],[Year]],"Q",Table1[[#This Row],[Quarter]])</f>
        <v>2006Q1</v>
      </c>
      <c r="E90" s="12">
        <v>206.4</v>
      </c>
    </row>
    <row r="91" spans="1:5" hidden="1" x14ac:dyDescent="0.3">
      <c r="A91" s="13">
        <v>38718</v>
      </c>
      <c r="B91" s="14">
        <f>YEAR(Table1[[#This Row],[Semiannual Observation_date]])</f>
        <v>2006</v>
      </c>
      <c r="C91" s="14">
        <v>2</v>
      </c>
      <c r="D91" s="15" t="str">
        <f>_xlfn.CONCAT(Table1[[#This Row],[Year]],"Q",Table1[[#This Row],[Quarter]])</f>
        <v>2006Q2</v>
      </c>
      <c r="E91" s="12">
        <v>206.4</v>
      </c>
    </row>
    <row r="92" spans="1:5" hidden="1" x14ac:dyDescent="0.3">
      <c r="A92" s="13">
        <v>38899</v>
      </c>
      <c r="B92" s="14">
        <f>YEAR(Table1[[#This Row],[Semiannual Observation_date]])</f>
        <v>2006</v>
      </c>
      <c r="C92" s="14">
        <v>3</v>
      </c>
      <c r="D92" s="15" t="str">
        <f>_xlfn.CONCAT(Table1[[#This Row],[Year]],"Q",Table1[[#This Row],[Quarter]])</f>
        <v>2006Q3</v>
      </c>
      <c r="E92" s="12">
        <v>212.3</v>
      </c>
    </row>
    <row r="93" spans="1:5" hidden="1" x14ac:dyDescent="0.3">
      <c r="A93" s="13">
        <v>38899</v>
      </c>
      <c r="B93" s="14">
        <f>YEAR(Table1[[#This Row],[Semiannual Observation_date]])</f>
        <v>2006</v>
      </c>
      <c r="C93" s="14">
        <v>4</v>
      </c>
      <c r="D93" s="15" t="str">
        <f>_xlfn.CONCAT(Table1[[#This Row],[Year]],"Q",Table1[[#This Row],[Quarter]])</f>
        <v>2006Q4</v>
      </c>
      <c r="E93" s="12">
        <v>212.3</v>
      </c>
    </row>
    <row r="94" spans="1:5" hidden="1" x14ac:dyDescent="0.3">
      <c r="A94" s="13">
        <v>39083</v>
      </c>
      <c r="B94" s="14">
        <f>YEAR(Table1[[#This Row],[Semiannual Observation_date]])</f>
        <v>2007</v>
      </c>
      <c r="C94" s="14">
        <v>1</v>
      </c>
      <c r="D94" s="15" t="str">
        <f>_xlfn.CONCAT(Table1[[#This Row],[Year]],"Q",Table1[[#This Row],[Quarter]])</f>
        <v>2007Q1</v>
      </c>
      <c r="E94" s="12">
        <v>216.62</v>
      </c>
    </row>
    <row r="95" spans="1:5" hidden="1" x14ac:dyDescent="0.3">
      <c r="A95" s="13">
        <v>39083</v>
      </c>
      <c r="B95" s="14">
        <f>YEAR(Table1[[#This Row],[Semiannual Observation_date]])</f>
        <v>2007</v>
      </c>
      <c r="C95" s="14">
        <v>2</v>
      </c>
      <c r="D95" s="15" t="str">
        <f>_xlfn.CONCAT(Table1[[#This Row],[Year]],"Q",Table1[[#This Row],[Quarter]])</f>
        <v>2007Q2</v>
      </c>
      <c r="E95" s="12">
        <v>216.62</v>
      </c>
    </row>
    <row r="96" spans="1:5" hidden="1" x14ac:dyDescent="0.3">
      <c r="A96" s="13">
        <v>39264</v>
      </c>
      <c r="B96" s="14">
        <f>YEAR(Table1[[#This Row],[Semiannual Observation_date]])</f>
        <v>2007</v>
      </c>
      <c r="C96" s="14">
        <v>3</v>
      </c>
      <c r="D96" s="15" t="str">
        <f>_xlfn.CONCAT(Table1[[#This Row],[Year]],"Q",Table1[[#This Row],[Quarter]])</f>
        <v>2007Q3</v>
      </c>
      <c r="E96" s="12">
        <v>222.38800000000001</v>
      </c>
    </row>
    <row r="97" spans="1:5" hidden="1" x14ac:dyDescent="0.3">
      <c r="A97" s="13">
        <v>39264</v>
      </c>
      <c r="B97" s="14">
        <f>YEAR(Table1[[#This Row],[Semiannual Observation_date]])</f>
        <v>2007</v>
      </c>
      <c r="C97" s="14">
        <v>4</v>
      </c>
      <c r="D97" s="15" t="str">
        <f>_xlfn.CONCAT(Table1[[#This Row],[Year]],"Q",Table1[[#This Row],[Quarter]])</f>
        <v>2007Q4</v>
      </c>
      <c r="E97" s="12">
        <v>222.38800000000001</v>
      </c>
    </row>
    <row r="98" spans="1:5" x14ac:dyDescent="0.3">
      <c r="A98" s="13">
        <v>39448</v>
      </c>
      <c r="B98" s="14">
        <f>YEAR(Table1[[#This Row],[Semiannual Observation_date]])</f>
        <v>2008</v>
      </c>
      <c r="C98" s="14">
        <v>1</v>
      </c>
      <c r="D98" s="15" t="str">
        <f>_xlfn.CONCAT(Table1[[#This Row],[Year]],"Q",Table1[[#This Row],[Quarter]])</f>
        <v>2008Q1</v>
      </c>
      <c r="E98" s="12">
        <v>227.334</v>
      </c>
    </row>
    <row r="99" spans="1:5" x14ac:dyDescent="0.3">
      <c r="A99" s="13">
        <v>39448</v>
      </c>
      <c r="B99" s="14">
        <f>YEAR(Table1[[#This Row],[Semiannual Observation_date]])</f>
        <v>2008</v>
      </c>
      <c r="C99" s="14">
        <v>2</v>
      </c>
      <c r="D99" s="15" t="str">
        <f>_xlfn.CONCAT(Table1[[#This Row],[Year]],"Q",Table1[[#This Row],[Quarter]])</f>
        <v>2008Q2</v>
      </c>
      <c r="E99" s="12">
        <v>227.334</v>
      </c>
    </row>
    <row r="100" spans="1:5" x14ac:dyDescent="0.3">
      <c r="A100" s="13">
        <v>39630</v>
      </c>
      <c r="B100" s="14">
        <f>YEAR(Table1[[#This Row],[Semiannual Observation_date]])</f>
        <v>2008</v>
      </c>
      <c r="C100" s="14">
        <v>3</v>
      </c>
      <c r="D100" s="15" t="str">
        <f>_xlfn.CONCAT(Table1[[#This Row],[Year]],"Q",Table1[[#This Row],[Quarter]])</f>
        <v>2008Q3</v>
      </c>
      <c r="E100" s="12">
        <v>230.387</v>
      </c>
    </row>
    <row r="101" spans="1:5" x14ac:dyDescent="0.3">
      <c r="A101" s="13">
        <v>39630</v>
      </c>
      <c r="B101" s="14">
        <f>YEAR(Table1[[#This Row],[Semiannual Observation_date]])</f>
        <v>2008</v>
      </c>
      <c r="C101" s="14">
        <v>4</v>
      </c>
      <c r="D101" s="15" t="str">
        <f>_xlfn.CONCAT(Table1[[#This Row],[Year]],"Q",Table1[[#This Row],[Quarter]])</f>
        <v>2008Q4</v>
      </c>
      <c r="E101" s="12">
        <v>230.387</v>
      </c>
    </row>
    <row r="102" spans="1:5" x14ac:dyDescent="0.3">
      <c r="A102" s="13">
        <v>39814</v>
      </c>
      <c r="B102" s="14">
        <f>YEAR(Table1[[#This Row],[Semiannual Observation_date]])</f>
        <v>2009</v>
      </c>
      <c r="C102" s="14">
        <v>1</v>
      </c>
      <c r="D102" s="15" t="str">
        <f>_xlfn.CONCAT(Table1[[#This Row],[Year]],"Q",Table1[[#This Row],[Quarter]])</f>
        <v>2009Q1</v>
      </c>
      <c r="E102" s="12">
        <v>228.07</v>
      </c>
    </row>
    <row r="103" spans="1:5" x14ac:dyDescent="0.3">
      <c r="A103" s="13">
        <v>39814</v>
      </c>
      <c r="B103" s="14">
        <f>YEAR(Table1[[#This Row],[Semiannual Observation_date]])</f>
        <v>2009</v>
      </c>
      <c r="C103" s="14">
        <v>2</v>
      </c>
      <c r="D103" s="15" t="str">
        <f>_xlfn.CONCAT(Table1[[#This Row],[Year]],"Q",Table1[[#This Row],[Quarter]])</f>
        <v>2009Q2</v>
      </c>
      <c r="E103" s="12">
        <v>228.07</v>
      </c>
    </row>
    <row r="104" spans="1:5" x14ac:dyDescent="0.3">
      <c r="A104" s="13">
        <v>39995</v>
      </c>
      <c r="B104" s="14">
        <f>YEAR(Table1[[#This Row],[Semiannual Observation_date]])</f>
        <v>2009</v>
      </c>
      <c r="C104" s="14">
        <v>3</v>
      </c>
      <c r="D104" s="15" t="str">
        <f>_xlfn.CONCAT(Table1[[#This Row],[Year]],"Q",Table1[[#This Row],[Quarter]])</f>
        <v>2009Q3</v>
      </c>
      <c r="E104" s="12">
        <v>232.02600000000001</v>
      </c>
    </row>
    <row r="105" spans="1:5" x14ac:dyDescent="0.3">
      <c r="A105" s="13">
        <v>39995</v>
      </c>
      <c r="B105" s="14">
        <f>YEAR(Table1[[#This Row],[Semiannual Observation_date]])</f>
        <v>2009</v>
      </c>
      <c r="C105" s="14">
        <v>4</v>
      </c>
      <c r="D105" s="15" t="str">
        <f>_xlfn.CONCAT(Table1[[#This Row],[Year]],"Q",Table1[[#This Row],[Quarter]])</f>
        <v>2009Q4</v>
      </c>
      <c r="E105" s="12">
        <v>232.02600000000001</v>
      </c>
    </row>
    <row r="106" spans="1:5" x14ac:dyDescent="0.3">
      <c r="A106" s="13">
        <v>40179</v>
      </c>
      <c r="B106" s="14">
        <f>YEAR(Table1[[#This Row],[Semiannual Observation_date]])</f>
        <v>2010</v>
      </c>
      <c r="C106" s="14">
        <v>1</v>
      </c>
      <c r="D106" s="15" t="str">
        <f>_xlfn.CONCAT(Table1[[#This Row],[Year]],"Q",Table1[[#This Row],[Quarter]])</f>
        <v>2010Q1</v>
      </c>
      <c r="E106" s="12">
        <v>233.822</v>
      </c>
    </row>
    <row r="107" spans="1:5" x14ac:dyDescent="0.3">
      <c r="A107" s="13">
        <v>40179</v>
      </c>
      <c r="B107" s="14">
        <f>YEAR(Table1[[#This Row],[Semiannual Observation_date]])</f>
        <v>2010</v>
      </c>
      <c r="C107" s="14">
        <v>2</v>
      </c>
      <c r="D107" s="15" t="str">
        <f>_xlfn.CONCAT(Table1[[#This Row],[Year]],"Q",Table1[[#This Row],[Quarter]])</f>
        <v>2010Q2</v>
      </c>
      <c r="E107" s="12">
        <v>233.822</v>
      </c>
    </row>
    <row r="108" spans="1:5" x14ac:dyDescent="0.3">
      <c r="A108" s="13">
        <v>40360</v>
      </c>
      <c r="B108" s="14">
        <f>YEAR(Table1[[#This Row],[Semiannual Observation_date]])</f>
        <v>2010</v>
      </c>
      <c r="C108" s="14">
        <v>3</v>
      </c>
      <c r="D108" s="15" t="str">
        <f>_xlfn.CONCAT(Table1[[#This Row],[Year]],"Q",Table1[[#This Row],[Quarter]])</f>
        <v>2010Q3</v>
      </c>
      <c r="E108" s="12">
        <v>235.916</v>
      </c>
    </row>
    <row r="109" spans="1:5" x14ac:dyDescent="0.3">
      <c r="A109" s="13">
        <v>40360</v>
      </c>
      <c r="B109" s="14">
        <f>YEAR(Table1[[#This Row],[Semiannual Observation_date]])</f>
        <v>2010</v>
      </c>
      <c r="C109" s="14">
        <v>4</v>
      </c>
      <c r="D109" s="15" t="str">
        <f>_xlfn.CONCAT(Table1[[#This Row],[Year]],"Q",Table1[[#This Row],[Quarter]])</f>
        <v>2010Q4</v>
      </c>
      <c r="E109" s="12">
        <v>235.916</v>
      </c>
    </row>
    <row r="110" spans="1:5" x14ac:dyDescent="0.3">
      <c r="A110" s="13">
        <v>40544</v>
      </c>
      <c r="B110" s="14">
        <f>YEAR(Table1[[#This Row],[Semiannual Observation_date]])</f>
        <v>2011</v>
      </c>
      <c r="C110" s="14">
        <v>1</v>
      </c>
      <c r="D110" s="15" t="str">
        <f>_xlfn.CONCAT(Table1[[#This Row],[Year]],"Q",Table1[[#This Row],[Quarter]])</f>
        <v>2011Q1</v>
      </c>
      <c r="E110" s="12">
        <v>241.90199999999999</v>
      </c>
    </row>
    <row r="111" spans="1:5" x14ac:dyDescent="0.3">
      <c r="A111" s="13">
        <v>40544</v>
      </c>
      <c r="B111" s="14">
        <f>YEAR(Table1[[#This Row],[Semiannual Observation_date]])</f>
        <v>2011</v>
      </c>
      <c r="C111" s="14">
        <v>2</v>
      </c>
      <c r="D111" s="15" t="str">
        <f>_xlfn.CONCAT(Table1[[#This Row],[Year]],"Q",Table1[[#This Row],[Quarter]])</f>
        <v>2011Q2</v>
      </c>
      <c r="E111" s="12">
        <v>241.90199999999999</v>
      </c>
    </row>
    <row r="112" spans="1:5" x14ac:dyDescent="0.3">
      <c r="A112" s="13">
        <v>40725</v>
      </c>
      <c r="B112" s="14">
        <f>YEAR(Table1[[#This Row],[Semiannual Observation_date]])</f>
        <v>2011</v>
      </c>
      <c r="C112" s="14">
        <v>3</v>
      </c>
      <c r="D112" s="15" t="str">
        <f>_xlfn.CONCAT(Table1[[#This Row],[Year]],"Q",Table1[[#This Row],[Quarter]])</f>
        <v>2011Q3</v>
      </c>
      <c r="E112" s="12">
        <v>245.34200000000001</v>
      </c>
    </row>
    <row r="113" spans="1:5" x14ac:dyDescent="0.3">
      <c r="A113" s="13">
        <v>40725</v>
      </c>
      <c r="B113" s="14">
        <f>YEAR(Table1[[#This Row],[Semiannual Observation_date]])</f>
        <v>2011</v>
      </c>
      <c r="C113" s="14">
        <v>4</v>
      </c>
      <c r="D113" s="15" t="str">
        <f>_xlfn.CONCAT(Table1[[#This Row],[Year]],"Q",Table1[[#This Row],[Quarter]])</f>
        <v>2011Q4</v>
      </c>
      <c r="E113" s="12">
        <v>245.34200000000001</v>
      </c>
    </row>
    <row r="114" spans="1:5" x14ac:dyDescent="0.3">
      <c r="A114" s="13">
        <v>40909</v>
      </c>
      <c r="B114" s="14">
        <f>YEAR(Table1[[#This Row],[Semiannual Observation_date]])</f>
        <v>2012</v>
      </c>
      <c r="C114" s="14">
        <v>1</v>
      </c>
      <c r="D114" s="15" t="str">
        <f>_xlfn.CONCAT(Table1[[#This Row],[Year]],"Q",Table1[[#This Row],[Quarter]])</f>
        <v>2012Q1</v>
      </c>
      <c r="E114" s="12">
        <v>248.64599999999999</v>
      </c>
    </row>
    <row r="115" spans="1:5" x14ac:dyDescent="0.3">
      <c r="A115" s="13">
        <v>40909</v>
      </c>
      <c r="B115" s="14">
        <f>YEAR(Table1[[#This Row],[Semiannual Observation_date]])</f>
        <v>2012</v>
      </c>
      <c r="C115" s="14">
        <v>2</v>
      </c>
      <c r="D115" s="15" t="str">
        <f>_xlfn.CONCAT(Table1[[#This Row],[Year]],"Q",Table1[[#This Row],[Quarter]])</f>
        <v>2012Q2</v>
      </c>
      <c r="E115" s="12">
        <v>248.64599999999999</v>
      </c>
    </row>
    <row r="116" spans="1:5" x14ac:dyDescent="0.3">
      <c r="A116" s="13">
        <v>41091</v>
      </c>
      <c r="B116" s="14">
        <f>YEAR(Table1[[#This Row],[Semiannual Observation_date]])</f>
        <v>2012</v>
      </c>
      <c r="C116" s="14">
        <v>3</v>
      </c>
      <c r="D116" s="15" t="str">
        <f>_xlfn.CONCAT(Table1[[#This Row],[Year]],"Q",Table1[[#This Row],[Quarter]])</f>
        <v>2012Q3</v>
      </c>
      <c r="E116" s="12">
        <v>250.303</v>
      </c>
    </row>
    <row r="117" spans="1:5" x14ac:dyDescent="0.3">
      <c r="A117" s="13">
        <v>41091</v>
      </c>
      <c r="B117" s="14">
        <f>YEAR(Table1[[#This Row],[Semiannual Observation_date]])</f>
        <v>2012</v>
      </c>
      <c r="C117" s="14">
        <v>4</v>
      </c>
      <c r="D117" s="15" t="str">
        <f>_xlfn.CONCAT(Table1[[#This Row],[Year]],"Q",Table1[[#This Row],[Quarter]])</f>
        <v>2012Q4</v>
      </c>
      <c r="E117" s="12">
        <v>250.303</v>
      </c>
    </row>
    <row r="118" spans="1:5" x14ac:dyDescent="0.3">
      <c r="A118" s="13">
        <v>41275</v>
      </c>
      <c r="B118" s="14">
        <f>YEAR(Table1[[#This Row],[Semiannual Observation_date]])</f>
        <v>2013</v>
      </c>
      <c r="C118" s="14">
        <v>1</v>
      </c>
      <c r="D118" s="15" t="str">
        <f>_xlfn.CONCAT(Table1[[#This Row],[Year]],"Q",Table1[[#This Row],[Quarter]])</f>
        <v>2013Q1</v>
      </c>
      <c r="E118" s="12">
        <v>253.202</v>
      </c>
    </row>
    <row r="119" spans="1:5" x14ac:dyDescent="0.3">
      <c r="A119" s="13">
        <v>41275</v>
      </c>
      <c r="B119" s="14">
        <f>YEAR(Table1[[#This Row],[Semiannual Observation_date]])</f>
        <v>2013</v>
      </c>
      <c r="C119" s="14">
        <v>2</v>
      </c>
      <c r="D119" s="15" t="str">
        <f>_xlfn.CONCAT(Table1[[#This Row],[Year]],"Q",Table1[[#This Row],[Quarter]])</f>
        <v>2013Q2</v>
      </c>
      <c r="E119" s="12">
        <v>253.202</v>
      </c>
    </row>
    <row r="120" spans="1:5" x14ac:dyDescent="0.3">
      <c r="A120" s="13">
        <v>41456</v>
      </c>
      <c r="B120" s="14">
        <f>YEAR(Table1[[#This Row],[Semiannual Observation_date]])</f>
        <v>2013</v>
      </c>
      <c r="C120" s="14">
        <v>3</v>
      </c>
      <c r="D120" s="15" t="str">
        <f>_xlfn.CONCAT(Table1[[#This Row],[Year]],"Q",Table1[[#This Row],[Quarter]])</f>
        <v>2013Q3</v>
      </c>
      <c r="E120" s="12">
        <v>254.64599999999999</v>
      </c>
    </row>
    <row r="121" spans="1:5" x14ac:dyDescent="0.3">
      <c r="A121" s="13">
        <v>41456</v>
      </c>
      <c r="B121" s="14">
        <f>YEAR(Table1[[#This Row],[Semiannual Observation_date]])</f>
        <v>2013</v>
      </c>
      <c r="C121" s="14">
        <v>4</v>
      </c>
      <c r="D121" s="15" t="str">
        <f>_xlfn.CONCAT(Table1[[#This Row],[Year]],"Q",Table1[[#This Row],[Quarter]])</f>
        <v>2013Q4</v>
      </c>
      <c r="E121" s="12">
        <v>254.64599999999999</v>
      </c>
    </row>
    <row r="122" spans="1:5" x14ac:dyDescent="0.3">
      <c r="A122" s="13">
        <v>41640</v>
      </c>
      <c r="B122" s="14">
        <f>YEAR(Table1[[#This Row],[Semiannual Observation_date]])</f>
        <v>2014</v>
      </c>
      <c r="C122" s="14">
        <v>1</v>
      </c>
      <c r="D122" s="15" t="str">
        <f>_xlfn.CONCAT(Table1[[#This Row],[Year]],"Q",Table1[[#This Row],[Quarter]])</f>
        <v>2014Q1</v>
      </c>
      <c r="E122" s="12">
        <v>255.989</v>
      </c>
    </row>
    <row r="123" spans="1:5" x14ac:dyDescent="0.3">
      <c r="A123" s="13">
        <v>41640</v>
      </c>
      <c r="B123" s="14">
        <f>YEAR(Table1[[#This Row],[Semiannual Observation_date]])</f>
        <v>2014</v>
      </c>
      <c r="C123" s="14">
        <v>2</v>
      </c>
      <c r="D123" s="15" t="str">
        <f>_xlfn.CONCAT(Table1[[#This Row],[Year]],"Q",Table1[[#This Row],[Quarter]])</f>
        <v>2014Q2</v>
      </c>
      <c r="E123" s="12">
        <v>255.989</v>
      </c>
    </row>
    <row r="124" spans="1:5" x14ac:dyDescent="0.3">
      <c r="A124" s="13">
        <v>41821</v>
      </c>
      <c r="B124" s="14">
        <f>YEAR(Table1[[#This Row],[Semiannual Observation_date]])</f>
        <v>2014</v>
      </c>
      <c r="C124" s="14">
        <v>3</v>
      </c>
      <c r="D124" s="15" t="str">
        <f>_xlfn.CONCAT(Table1[[#This Row],[Year]],"Q",Table1[[#This Row],[Quarter]])</f>
        <v>2014Q3</v>
      </c>
      <c r="E124" s="12">
        <v>259.19</v>
      </c>
    </row>
    <row r="125" spans="1:5" x14ac:dyDescent="0.3">
      <c r="A125" s="13">
        <v>41821</v>
      </c>
      <c r="B125" s="14">
        <f>YEAR(Table1[[#This Row],[Semiannual Observation_date]])</f>
        <v>2014</v>
      </c>
      <c r="C125" s="14">
        <v>4</v>
      </c>
      <c r="D125" s="15" t="str">
        <f>_xlfn.CONCAT(Table1[[#This Row],[Year]],"Q",Table1[[#This Row],[Quarter]])</f>
        <v>2014Q4</v>
      </c>
      <c r="E125" s="12">
        <v>259.19</v>
      </c>
    </row>
    <row r="126" spans="1:5" x14ac:dyDescent="0.3">
      <c r="A126" s="13">
        <v>42005</v>
      </c>
      <c r="B126" s="14">
        <f>YEAR(Table1[[#This Row],[Semiannual Observation_date]])</f>
        <v>2015</v>
      </c>
      <c r="C126" s="14">
        <v>1</v>
      </c>
      <c r="D126" s="15" t="str">
        <f>_xlfn.CONCAT(Table1[[#This Row],[Year]],"Q",Table1[[#This Row],[Quarter]])</f>
        <v>2015Q1</v>
      </c>
      <c r="E126" s="12">
        <v>257.84800000000001</v>
      </c>
    </row>
    <row r="127" spans="1:5" x14ac:dyDescent="0.3">
      <c r="A127" s="13">
        <v>42005</v>
      </c>
      <c r="B127" s="14">
        <f>YEAR(Table1[[#This Row],[Semiannual Observation_date]])</f>
        <v>2015</v>
      </c>
      <c r="C127" s="14">
        <v>2</v>
      </c>
      <c r="D127" s="15" t="str">
        <f>_xlfn.CONCAT(Table1[[#This Row],[Year]],"Q",Table1[[#This Row],[Quarter]])</f>
        <v>2015Q2</v>
      </c>
      <c r="E127" s="12">
        <v>257.84800000000001</v>
      </c>
    </row>
    <row r="128" spans="1:5" x14ac:dyDescent="0.3">
      <c r="A128" s="13">
        <v>42186</v>
      </c>
      <c r="B128" s="14">
        <f>YEAR(Table1[[#This Row],[Semiannual Observation_date]])</f>
        <v>2015</v>
      </c>
      <c r="C128" s="14">
        <v>3</v>
      </c>
      <c r="D128" s="15" t="str">
        <f>_xlfn.CONCAT(Table1[[#This Row],[Year]],"Q",Table1[[#This Row],[Quarter]])</f>
        <v>2015Q3</v>
      </c>
      <c r="E128" s="12">
        <v>262.48200000000003</v>
      </c>
    </row>
    <row r="129" spans="1:5" x14ac:dyDescent="0.3">
      <c r="A129" s="13">
        <v>42186</v>
      </c>
      <c r="B129" s="14">
        <f>YEAR(Table1[[#This Row],[Semiannual Observation_date]])</f>
        <v>2015</v>
      </c>
      <c r="C129" s="14">
        <v>4</v>
      </c>
      <c r="D129" s="15" t="str">
        <f>_xlfn.CONCAT(Table1[[#This Row],[Year]],"Q",Table1[[#This Row],[Quarter]])</f>
        <v>2015Q4</v>
      </c>
      <c r="E129" s="12">
        <v>262.48200000000003</v>
      </c>
    </row>
    <row r="130" spans="1:5" x14ac:dyDescent="0.3">
      <c r="A130" s="13">
        <v>42370</v>
      </c>
      <c r="B130" s="14">
        <f>YEAR(Table1[[#This Row],[Semiannual Observation_date]])</f>
        <v>2016</v>
      </c>
      <c r="C130" s="14">
        <v>1</v>
      </c>
      <c r="D130" s="15" t="str">
        <f>_xlfn.CONCAT(Table1[[#This Row],[Year]],"Q",Table1[[#This Row],[Quarter]])</f>
        <v>2016Q1</v>
      </c>
      <c r="E130" s="12">
        <v>264.03800000000001</v>
      </c>
    </row>
    <row r="131" spans="1:5" x14ac:dyDescent="0.3">
      <c r="A131" s="13">
        <v>42370</v>
      </c>
      <c r="B131" s="14">
        <f>YEAR(Table1[[#This Row],[Semiannual Observation_date]])</f>
        <v>2016</v>
      </c>
      <c r="C131" s="14">
        <v>2</v>
      </c>
      <c r="D131" s="15" t="str">
        <f>_xlfn.CONCAT(Table1[[#This Row],[Year]],"Q",Table1[[#This Row],[Quarter]])</f>
        <v>2016Q2</v>
      </c>
      <c r="E131" s="12">
        <v>264.03800000000001</v>
      </c>
    </row>
    <row r="132" spans="1:5" x14ac:dyDescent="0.3">
      <c r="A132" s="13">
        <v>42552</v>
      </c>
      <c r="B132" s="14">
        <f>YEAR(Table1[[#This Row],[Semiannual Observation_date]])</f>
        <v>2016</v>
      </c>
      <c r="C132" s="14">
        <v>3</v>
      </c>
      <c r="D132" s="15" t="str">
        <f>_xlfn.CONCAT(Table1[[#This Row],[Year]],"Q",Table1[[#This Row],[Quarter]])</f>
        <v>2016Q3</v>
      </c>
      <c r="E132" s="12">
        <v>266.52800000000002</v>
      </c>
    </row>
    <row r="133" spans="1:5" x14ac:dyDescent="0.3">
      <c r="A133" s="13">
        <v>42552</v>
      </c>
      <c r="B133" s="14">
        <f>YEAR(Table1[[#This Row],[Semiannual Observation_date]])</f>
        <v>2016</v>
      </c>
      <c r="C133" s="14">
        <v>4</v>
      </c>
      <c r="D133" s="15" t="str">
        <f>_xlfn.CONCAT(Table1[[#This Row],[Year]],"Q",Table1[[#This Row],[Quarter]])</f>
        <v>2016Q4</v>
      </c>
      <c r="E133" s="12">
        <v>266.52800000000002</v>
      </c>
    </row>
    <row r="134" spans="1:5" x14ac:dyDescent="0.3">
      <c r="A134" s="13">
        <v>42736</v>
      </c>
      <c r="B134" s="14">
        <f>YEAR(Table1[[#This Row],[Semiannual Observation_date]])</f>
        <v>2017</v>
      </c>
      <c r="C134" s="14">
        <v>1</v>
      </c>
      <c r="D134" s="15" t="str">
        <f>_xlfn.CONCAT(Table1[[#This Row],[Year]],"Q",Table1[[#This Row],[Quarter]])</f>
        <v>2017Q1</v>
      </c>
      <c r="E134" s="12">
        <v>270.738</v>
      </c>
    </row>
    <row r="135" spans="1:5" x14ac:dyDescent="0.3">
      <c r="A135" s="13">
        <v>42736</v>
      </c>
      <c r="B135" s="14">
        <f>YEAR(Table1[[#This Row],[Semiannual Observation_date]])</f>
        <v>2017</v>
      </c>
      <c r="C135" s="14">
        <v>2</v>
      </c>
      <c r="D135" s="15" t="str">
        <f>_xlfn.CONCAT(Table1[[#This Row],[Year]],"Q",Table1[[#This Row],[Quarter]])</f>
        <v>2017Q2</v>
      </c>
      <c r="E135" s="12">
        <v>270.738</v>
      </c>
    </row>
    <row r="136" spans="1:5" x14ac:dyDescent="0.3">
      <c r="A136" s="13">
        <v>42917</v>
      </c>
      <c r="B136" s="14">
        <f>YEAR(Table1[[#This Row],[Semiannual Observation_date]])</f>
        <v>2017</v>
      </c>
      <c r="C136" s="14">
        <v>3</v>
      </c>
      <c r="D136" s="15" t="str">
        <f>_xlfn.CONCAT(Table1[[#This Row],[Year]],"Q",Table1[[#This Row],[Quarter]])</f>
        <v>2017Q3</v>
      </c>
      <c r="E136" s="12">
        <v>273.29000000000002</v>
      </c>
    </row>
    <row r="137" spans="1:5" x14ac:dyDescent="0.3">
      <c r="A137" s="13">
        <v>42917</v>
      </c>
      <c r="B137" s="14">
        <f>YEAR(Table1[[#This Row],[Semiannual Observation_date]])</f>
        <v>2017</v>
      </c>
      <c r="C137" s="14">
        <v>4</v>
      </c>
      <c r="D137" s="15" t="str">
        <f>_xlfn.CONCAT(Table1[[#This Row],[Year]],"Q",Table1[[#This Row],[Quarter]])</f>
        <v>2017Q4</v>
      </c>
      <c r="E137" s="12">
        <v>273.29000000000002</v>
      </c>
    </row>
    <row r="138" spans="1:5" x14ac:dyDescent="0.3">
      <c r="A138" s="13">
        <v>43101</v>
      </c>
      <c r="B138" s="14">
        <f>YEAR(Table1[[#This Row],[Semiannual Observation_date]])</f>
        <v>2018</v>
      </c>
      <c r="C138" s="14">
        <v>1</v>
      </c>
      <c r="D138" s="15" t="str">
        <f>_xlfn.CONCAT(Table1[[#This Row],[Year]],"Q",Table1[[#This Row],[Quarter]])</f>
        <v>2018Q1</v>
      </c>
      <c r="E138" s="12">
        <v>275.19600000000003</v>
      </c>
    </row>
    <row r="139" spans="1:5" x14ac:dyDescent="0.3">
      <c r="A139" s="13">
        <v>43101</v>
      </c>
      <c r="B139" s="14">
        <f>YEAR(Table1[[#This Row],[Semiannual Observation_date]])</f>
        <v>2018</v>
      </c>
      <c r="C139" s="14">
        <v>2</v>
      </c>
      <c r="D139" s="15" t="str">
        <f>_xlfn.CONCAT(Table1[[#This Row],[Year]],"Q",Table1[[#This Row],[Quarter]])</f>
        <v>2018Q2</v>
      </c>
      <c r="E139" s="12">
        <v>275.19600000000003</v>
      </c>
    </row>
    <row r="140" spans="1:5" x14ac:dyDescent="0.3">
      <c r="A140" s="13">
        <v>43282</v>
      </c>
      <c r="B140" s="14">
        <f>YEAR(Table1[[#This Row],[Semiannual Observation_date]])</f>
        <v>2018</v>
      </c>
      <c r="C140" s="14">
        <v>3</v>
      </c>
      <c r="D140" s="15" t="str">
        <f>_xlfn.CONCAT(Table1[[#This Row],[Year]],"Q",Table1[[#This Row],[Quarter]])</f>
        <v>2018Q3</v>
      </c>
      <c r="E140" s="12">
        <v>278.95999999999998</v>
      </c>
    </row>
    <row r="141" spans="1:5" x14ac:dyDescent="0.3">
      <c r="A141" s="13">
        <v>43282</v>
      </c>
      <c r="B141" s="14">
        <f>YEAR(Table1[[#This Row],[Semiannual Observation_date]])</f>
        <v>2018</v>
      </c>
      <c r="C141" s="14">
        <v>4</v>
      </c>
      <c r="D141" s="15" t="str">
        <f>_xlfn.CONCAT(Table1[[#This Row],[Year]],"Q",Table1[[#This Row],[Quarter]])</f>
        <v>2018Q4</v>
      </c>
      <c r="E141" s="12">
        <v>278.95999999999998</v>
      </c>
    </row>
    <row r="142" spans="1:5" x14ac:dyDescent="0.3">
      <c r="A142" s="13">
        <v>43466</v>
      </c>
      <c r="B142" s="14">
        <f>YEAR(Table1[[#This Row],[Semiannual Observation_date]])</f>
        <v>2019</v>
      </c>
      <c r="C142" s="14">
        <v>1</v>
      </c>
      <c r="D142" s="15" t="str">
        <f>_xlfn.CONCAT(Table1[[#This Row],[Year]],"Q",Table1[[#This Row],[Quarter]])</f>
        <v>2019Q1</v>
      </c>
      <c r="E142" s="12">
        <v>280.666</v>
      </c>
    </row>
    <row r="143" spans="1:5" x14ac:dyDescent="0.3">
      <c r="A143" s="13">
        <v>43466</v>
      </c>
      <c r="B143" s="14">
        <f>YEAR(Table1[[#This Row],[Semiannual Observation_date]])</f>
        <v>2019</v>
      </c>
      <c r="C143" s="14">
        <v>2</v>
      </c>
      <c r="D143" s="15" t="str">
        <f>_xlfn.CONCAT(Table1[[#This Row],[Year]],"Q",Table1[[#This Row],[Quarter]])</f>
        <v>2019Q2</v>
      </c>
      <c r="E143" s="12">
        <v>280.666</v>
      </c>
    </row>
    <row r="144" spans="1:5" x14ac:dyDescent="0.3">
      <c r="A144" s="13">
        <v>43647</v>
      </c>
      <c r="B144" s="14">
        <f>YEAR(Table1[[#This Row],[Semiannual Observation_date]])</f>
        <v>2019</v>
      </c>
      <c r="C144" s="14">
        <v>3</v>
      </c>
      <c r="D144" s="15" t="str">
        <f>_xlfn.CONCAT(Table1[[#This Row],[Year]],"Q",Table1[[#This Row],[Quarter]])</f>
        <v>2019Q3</v>
      </c>
      <c r="E144" s="12">
        <v>282.50299999999999</v>
      </c>
    </row>
    <row r="145" spans="1:5" x14ac:dyDescent="0.3">
      <c r="A145" s="13">
        <v>43647</v>
      </c>
      <c r="B145" s="14">
        <f>YEAR(Table1[[#This Row],[Semiannual Observation_date]])</f>
        <v>2019</v>
      </c>
      <c r="C145" s="14">
        <v>4</v>
      </c>
      <c r="D145" s="15" t="str">
        <f>_xlfn.CONCAT(Table1[[#This Row],[Year]],"Q",Table1[[#This Row],[Quarter]])</f>
        <v>2019Q4</v>
      </c>
      <c r="E145" s="12">
        <v>282.50299999999999</v>
      </c>
    </row>
    <row r="146" spans="1:5" x14ac:dyDescent="0.3">
      <c r="A146" s="13">
        <v>43831</v>
      </c>
      <c r="B146" s="14">
        <f>YEAR(Table1[[#This Row],[Semiannual Observation_date]])</f>
        <v>2020</v>
      </c>
      <c r="C146" s="14">
        <v>1</v>
      </c>
      <c r="D146" s="15" t="str">
        <f>_xlfn.CONCAT(Table1[[#This Row],[Year]],"Q",Table1[[#This Row],[Quarter]])</f>
        <v>2020Q1</v>
      </c>
      <c r="E146" s="12">
        <v>285.08600000000001</v>
      </c>
    </row>
    <row r="147" spans="1:5" x14ac:dyDescent="0.3">
      <c r="A147" s="13">
        <v>43831</v>
      </c>
      <c r="B147" s="14">
        <f>YEAR(Table1[[#This Row],[Semiannual Observation_date]])</f>
        <v>2020</v>
      </c>
      <c r="C147" s="14">
        <v>2</v>
      </c>
      <c r="D147" s="15" t="str">
        <f>_xlfn.CONCAT(Table1[[#This Row],[Year]],"Q",Table1[[#This Row],[Quarter]])</f>
        <v>2020Q2</v>
      </c>
      <c r="E147" s="12">
        <v>285.08600000000001</v>
      </c>
    </row>
    <row r="148" spans="1:5" x14ac:dyDescent="0.3">
      <c r="A148" s="13">
        <v>44013</v>
      </c>
      <c r="B148" s="14">
        <f>YEAR(Table1[[#This Row],[Semiannual Observation_date]])</f>
        <v>2020</v>
      </c>
      <c r="C148" s="14">
        <v>3</v>
      </c>
      <c r="D148" s="15" t="str">
        <f>_xlfn.CONCAT(Table1[[#This Row],[Year]],"Q",Table1[[#This Row],[Quarter]])</f>
        <v>2020Q3</v>
      </c>
      <c r="E148" s="12">
        <v>286.93099999999998</v>
      </c>
    </row>
    <row r="149" spans="1:5" x14ac:dyDescent="0.3">
      <c r="A149" s="13">
        <v>44013</v>
      </c>
      <c r="B149" s="14">
        <f>YEAR(Table1[[#This Row],[Semiannual Observation_date]])</f>
        <v>2020</v>
      </c>
      <c r="C149" s="14">
        <v>4</v>
      </c>
      <c r="D149" s="15" t="str">
        <f>_xlfn.CONCAT(Table1[[#This Row],[Year]],"Q",Table1[[#This Row],[Quarter]])</f>
        <v>2020Q4</v>
      </c>
      <c r="E149" s="12">
        <v>286.93099999999998</v>
      </c>
    </row>
    <row r="150" spans="1:5" x14ac:dyDescent="0.3">
      <c r="A150" s="13">
        <v>44197</v>
      </c>
      <c r="B150" s="14">
        <f>YEAR(Table1[[#This Row],[Semiannual Observation_date]])</f>
        <v>2021</v>
      </c>
      <c r="C150" s="14">
        <v>1</v>
      </c>
      <c r="D150" s="15" t="str">
        <f>_xlfn.CONCAT(Table1[[#This Row],[Year]],"Q",Table1[[#This Row],[Quarter]])</f>
        <v>2021Q1</v>
      </c>
      <c r="E150" s="12">
        <v>292.47500000000002</v>
      </c>
    </row>
    <row r="151" spans="1:5" x14ac:dyDescent="0.3">
      <c r="A151" s="13">
        <v>44197</v>
      </c>
      <c r="B151" s="14">
        <f>YEAR(Table1[[#This Row],[Semiannual Observation_date]])</f>
        <v>2021</v>
      </c>
      <c r="C151" s="14">
        <v>2</v>
      </c>
      <c r="D151" s="15" t="str">
        <f>_xlfn.CONCAT(Table1[[#This Row],[Year]],"Q",Table1[[#This Row],[Quarter]])</f>
        <v>2021Q2</v>
      </c>
      <c r="E151" s="12">
        <v>292.47500000000002</v>
      </c>
    </row>
    <row r="152" spans="1:5" x14ac:dyDescent="0.3">
      <c r="A152" s="13">
        <v>44378</v>
      </c>
      <c r="B152" s="14">
        <f>YEAR(Table1[[#This Row],[Semiannual Observation_date]])</f>
        <v>2021</v>
      </c>
      <c r="C152" s="14">
        <v>3</v>
      </c>
      <c r="D152" s="15" t="str">
        <f>_xlfn.CONCAT(Table1[[#This Row],[Year]],"Q",Table1[[#This Row],[Quarter]])</f>
        <v>2021Q3</v>
      </c>
      <c r="E152" s="12">
        <v>301.161</v>
      </c>
    </row>
    <row r="153" spans="1:5" x14ac:dyDescent="0.3">
      <c r="A153" s="13">
        <v>44378</v>
      </c>
      <c r="B153" s="14">
        <f>YEAR(Table1[[#This Row],[Semiannual Observation_date]])</f>
        <v>2021</v>
      </c>
      <c r="C153" s="14">
        <v>4</v>
      </c>
      <c r="D153" s="15" t="str">
        <f>_xlfn.CONCAT(Table1[[#This Row],[Year]],"Q",Table1[[#This Row],[Quarter]])</f>
        <v>2021Q4</v>
      </c>
      <c r="E153" s="12">
        <v>301.161</v>
      </c>
    </row>
    <row r="154" spans="1:5" x14ac:dyDescent="0.3">
      <c r="A154" s="13">
        <v>44562</v>
      </c>
      <c r="B154" s="14">
        <f>YEAR(Table1[[#This Row],[Semiannual Observation_date]])</f>
        <v>2022</v>
      </c>
      <c r="C154" s="14">
        <v>1</v>
      </c>
      <c r="D154" s="15" t="str">
        <f>_xlfn.CONCAT(Table1[[#This Row],[Year]],"Q",Table1[[#This Row],[Quarter]])</f>
        <v>2022Q1</v>
      </c>
      <c r="E154" s="12">
        <v>312.137</v>
      </c>
    </row>
    <row r="155" spans="1:5" x14ac:dyDescent="0.3">
      <c r="A155" s="13">
        <v>44562</v>
      </c>
      <c r="B155" s="14">
        <f>YEAR(Table1[[#This Row],[Semiannual Observation_date]])</f>
        <v>2022</v>
      </c>
      <c r="C155" s="14">
        <v>2</v>
      </c>
      <c r="D155" s="15" t="str">
        <f>_xlfn.CONCAT(Table1[[#This Row],[Year]],"Q",Table1[[#This Row],[Quarter]])</f>
        <v>2022Q2</v>
      </c>
      <c r="E155" s="12">
        <v>312.137</v>
      </c>
    </row>
    <row r="156" spans="1:5" x14ac:dyDescent="0.3">
      <c r="A156" s="13">
        <v>44743</v>
      </c>
      <c r="B156" s="14">
        <f>YEAR(Table1[[#This Row],[Semiannual Observation_date]])</f>
        <v>2022</v>
      </c>
      <c r="C156" s="14">
        <v>3</v>
      </c>
      <c r="D156" s="15" t="str">
        <f>_xlfn.CONCAT(Table1[[#This Row],[Year]],"Q",Table1[[#This Row],[Quarter]])</f>
        <v>2022Q3</v>
      </c>
      <c r="E156" s="12">
        <v>320.01600000000002</v>
      </c>
    </row>
    <row r="157" spans="1:5" x14ac:dyDescent="0.3">
      <c r="A157" s="13">
        <v>44743</v>
      </c>
      <c r="B157" s="14">
        <f>YEAR(Table1[[#This Row],[Semiannual Observation_date]])</f>
        <v>2022</v>
      </c>
      <c r="C157" s="14">
        <v>4</v>
      </c>
      <c r="D157" s="15" t="str">
        <f>_xlfn.CONCAT(Table1[[#This Row],[Year]],"Q",Table1[[#This Row],[Quarter]])</f>
        <v>2022Q4</v>
      </c>
      <c r="E157" s="12">
        <v>320.01600000000002</v>
      </c>
    </row>
    <row r="158" spans="1:5" x14ac:dyDescent="0.3">
      <c r="A158" s="13">
        <v>44927</v>
      </c>
      <c r="B158" s="14">
        <f>YEAR(Table1[[#This Row],[Semiannual Observation_date]])</f>
        <v>2023</v>
      </c>
      <c r="C158" s="14">
        <v>1</v>
      </c>
      <c r="D158" s="15" t="str">
        <f>_xlfn.CONCAT(Table1[[#This Row],[Year]],"Q",Table1[[#This Row],[Quarter]])</f>
        <v>2023Q1</v>
      </c>
      <c r="E158" s="12">
        <v>322.71800000000002</v>
      </c>
    </row>
    <row r="159" spans="1:5" x14ac:dyDescent="0.3">
      <c r="A159" s="13">
        <v>44927</v>
      </c>
      <c r="B159" s="14">
        <f>YEAR(Table1[[#This Row],[Semiannual Observation_date]])</f>
        <v>2023</v>
      </c>
      <c r="C159" s="14">
        <v>2</v>
      </c>
      <c r="D159" s="15" t="str">
        <f>_xlfn.CONCAT(Table1[[#This Row],[Year]],"Q",Table1[[#This Row],[Quarter]])</f>
        <v>2023Q2</v>
      </c>
      <c r="E159" s="12">
        <v>322.71800000000002</v>
      </c>
    </row>
    <row r="160" spans="1:5" x14ac:dyDescent="0.3">
      <c r="A160" s="13">
        <v>45108</v>
      </c>
      <c r="B160" s="14">
        <f>YEAR(Table1[[#This Row],[Semiannual Observation_date]])</f>
        <v>2023</v>
      </c>
      <c r="C160" s="14">
        <v>3</v>
      </c>
      <c r="D160" s="15" t="str">
        <f>_xlfn.CONCAT(Table1[[#This Row],[Year]],"Q",Table1[[#This Row],[Quarter]])</f>
        <v>2023Q3</v>
      </c>
      <c r="E160" s="12">
        <v>329.19</v>
      </c>
    </row>
    <row r="161" spans="1:5" x14ac:dyDescent="0.3">
      <c r="A161" s="13">
        <v>45108</v>
      </c>
      <c r="B161" s="14">
        <f>YEAR(Table1[[#This Row],[Semiannual Observation_date]])</f>
        <v>2023</v>
      </c>
      <c r="C161" s="14">
        <v>4</v>
      </c>
      <c r="D161" s="15" t="str">
        <f>_xlfn.CONCAT(Table1[[#This Row],[Year]],"Q",Table1[[#This Row],[Quarter]])</f>
        <v>2023Q4</v>
      </c>
      <c r="E161" s="12">
        <v>329.19</v>
      </c>
    </row>
    <row r="162" spans="1:5" x14ac:dyDescent="0.3">
      <c r="A162" s="13">
        <v>45292</v>
      </c>
      <c r="B162" s="14">
        <f>YEAR(Table1[[#This Row],[Semiannual Observation_date]])</f>
        <v>2024</v>
      </c>
      <c r="C162" s="14">
        <v>1</v>
      </c>
      <c r="D162" s="15" t="str">
        <f>_xlfn.CONCAT(Table1[[#This Row],[Year]],"Q",Table1[[#This Row],[Quarter]])</f>
        <v>2024Q1</v>
      </c>
      <c r="E162" s="12">
        <v>338.04500000000002</v>
      </c>
    </row>
    <row r="163" spans="1:5" x14ac:dyDescent="0.3">
      <c r="A163" s="13">
        <v>45292</v>
      </c>
      <c r="B163" s="14">
        <f>YEAR(Table1[[#This Row],[Semiannual Observation_date]])</f>
        <v>2024</v>
      </c>
      <c r="C163" s="14">
        <v>2</v>
      </c>
      <c r="D163" s="15" t="str">
        <f>_xlfn.CONCAT(Table1[[#This Row],[Year]],"Q",Table1[[#This Row],[Quarter]])</f>
        <v>2024Q2</v>
      </c>
      <c r="E163" s="12">
        <v>338.04500000000002</v>
      </c>
    </row>
    <row r="164" spans="1:5" x14ac:dyDescent="0.3">
      <c r="A164" s="13">
        <v>45474</v>
      </c>
      <c r="B164" s="14">
        <f>YEAR(Table1[[#This Row],[Semiannual Observation_date]])</f>
        <v>2024</v>
      </c>
      <c r="C164" s="14">
        <v>3</v>
      </c>
      <c r="D164" s="15" t="str">
        <f>_xlfn.CONCAT(Table1[[#This Row],[Year]],"Q",Table1[[#This Row],[Quarter]])</f>
        <v>2024Q3</v>
      </c>
      <c r="E164" s="12">
        <v>342.35</v>
      </c>
    </row>
    <row r="165" spans="1:5" x14ac:dyDescent="0.3">
      <c r="A165" s="13">
        <v>45474</v>
      </c>
      <c r="B165" s="14">
        <f>YEAR(Table1[[#This Row],[Semiannual Observation_date]])</f>
        <v>2024</v>
      </c>
      <c r="C165" s="14">
        <v>4</v>
      </c>
      <c r="D165" s="15" t="str">
        <f>_xlfn.CONCAT(Table1[[#This Row],[Year]],"Q",Table1[[#This Row],[Quarter]])</f>
        <v>2024Q4</v>
      </c>
      <c r="E165" s="12">
        <v>342.35</v>
      </c>
    </row>
    <row r="166" spans="1:5" x14ac:dyDescent="0.3">
      <c r="A166" s="13">
        <v>45658</v>
      </c>
      <c r="B166" s="14">
        <f>YEAR(Table1[[#This Row],[Semiannual Observation_date]])</f>
        <v>2025</v>
      </c>
      <c r="C166" s="14">
        <v>1</v>
      </c>
      <c r="D166" s="15" t="str">
        <f>_xlfn.CONCAT(Table1[[#This Row],[Year]],"Q",Table1[[#This Row],[Quarter]])</f>
        <v>2025Q1</v>
      </c>
      <c r="E166" s="12">
        <v>347.85700000000003</v>
      </c>
    </row>
    <row r="167" spans="1:5" x14ac:dyDescent="0.3">
      <c r="A167" s="13">
        <v>45658</v>
      </c>
      <c r="B167" s="14">
        <f>YEAR(Table1[[#This Row],[Semiannual Observation_date]])</f>
        <v>2025</v>
      </c>
      <c r="C167" s="14">
        <v>2</v>
      </c>
      <c r="D167" s="15" t="str">
        <f>_xlfn.CONCAT(Table1[[#This Row],[Year]],"Q",Table1[[#This Row],[Quarter]])</f>
        <v>2025Q2</v>
      </c>
      <c r="E167" s="12">
        <v>347.85700000000003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Values Together</vt:lpstr>
      <vt:lpstr>HIRQGSP</vt:lpstr>
      <vt:lpstr>POILBREUSDQ</vt:lpstr>
      <vt:lpstr>Total Real Visitor Expenditures</vt:lpstr>
      <vt:lpstr>Total_Federal_Obligations</vt:lpstr>
      <vt:lpstr>CPI for all items in Urban 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PC50</dc:creator>
  <cp:lastModifiedBy>Anthony  Zhong</cp:lastModifiedBy>
  <dcterms:created xsi:type="dcterms:W3CDTF">2025-10-27T21:42:13Z</dcterms:created>
  <dcterms:modified xsi:type="dcterms:W3CDTF">2025-10-28T23:17:03Z</dcterms:modified>
</cp:coreProperties>
</file>